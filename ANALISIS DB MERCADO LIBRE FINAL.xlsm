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0" codeName="{3D1A710C-6663-3D7B-7F91-EC182F24A4BC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dario\Desktop\Data analyst\PROYECTOS DATA\DB - MERCADO LIBRE\"/>
    </mc:Choice>
  </mc:AlternateContent>
  <xr:revisionPtr revIDLastSave="0" documentId="13_ncr:1_{6288B682-5098-4639-8F81-E862E8905A78}" xr6:coauthVersionLast="36" xr6:coauthVersionMax="36" xr10:uidLastSave="{00000000-0000-0000-0000-000000000000}"/>
  <bookViews>
    <workbookView xWindow="0" yWindow="0" windowWidth="23040" windowHeight="9648" xr2:uid="{C788708D-9917-40DF-8FC6-F8F9186B091E}"/>
  </bookViews>
  <sheets>
    <sheet name="Datos" sheetId="6" r:id="rId1"/>
    <sheet name="Análisis" sheetId="2" r:id="rId2"/>
    <sheet name="visual" sheetId="7" r:id="rId3"/>
    <sheet name="Dashboard" sheetId="3" r:id="rId4"/>
  </sheets>
  <definedNames>
    <definedName name="DatosExternos_1" localSheetId="0" hidden="1">Datos!$A$1:$I$532</definedName>
    <definedName name="SegmentaciónDeDatos_category_name">#N/A</definedName>
  </definedNames>
  <calcPr calcId="191029"/>
  <pivotCaches>
    <pivotCache cacheId="0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6" l="1"/>
  <c r="F3" i="6"/>
  <c r="F4" i="6"/>
  <c r="F5" i="6"/>
  <c r="F6" i="6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103" i="6"/>
  <c r="F104" i="6"/>
  <c r="F105" i="6"/>
  <c r="F106" i="6"/>
  <c r="F107" i="6"/>
  <c r="F108" i="6"/>
  <c r="F109" i="6"/>
  <c r="F110" i="6"/>
  <c r="F111" i="6"/>
  <c r="F112" i="6"/>
  <c r="F113" i="6"/>
  <c r="F114" i="6"/>
  <c r="F115" i="6"/>
  <c r="F116" i="6"/>
  <c r="F117" i="6"/>
  <c r="F118" i="6"/>
  <c r="F119" i="6"/>
  <c r="F120" i="6"/>
  <c r="F121" i="6"/>
  <c r="F122" i="6"/>
  <c r="F123" i="6"/>
  <c r="F124" i="6"/>
  <c r="F125" i="6"/>
  <c r="F126" i="6"/>
  <c r="F127" i="6"/>
  <c r="F128" i="6"/>
  <c r="F129" i="6"/>
  <c r="F130" i="6"/>
  <c r="F131" i="6"/>
  <c r="F132" i="6"/>
  <c r="F133" i="6"/>
  <c r="F134" i="6"/>
  <c r="F135" i="6"/>
  <c r="F136" i="6"/>
  <c r="F137" i="6"/>
  <c r="F138" i="6"/>
  <c r="F139" i="6"/>
  <c r="F140" i="6"/>
  <c r="F141" i="6"/>
  <c r="F142" i="6"/>
  <c r="F143" i="6"/>
  <c r="F144" i="6"/>
  <c r="F145" i="6"/>
  <c r="F146" i="6"/>
  <c r="F147" i="6"/>
  <c r="F148" i="6"/>
  <c r="F149" i="6"/>
  <c r="F150" i="6"/>
  <c r="F151" i="6"/>
  <c r="F152" i="6"/>
  <c r="F153" i="6"/>
  <c r="F154" i="6"/>
  <c r="F155" i="6"/>
  <c r="F156" i="6"/>
  <c r="F157" i="6"/>
  <c r="F158" i="6"/>
  <c r="F159" i="6"/>
  <c r="F160" i="6"/>
  <c r="F161" i="6"/>
  <c r="F162" i="6"/>
  <c r="F163" i="6"/>
  <c r="F164" i="6"/>
  <c r="F165" i="6"/>
  <c r="F166" i="6"/>
  <c r="F167" i="6"/>
  <c r="F168" i="6"/>
  <c r="F169" i="6"/>
  <c r="F170" i="6"/>
  <c r="F171" i="6"/>
  <c r="F172" i="6"/>
  <c r="F173" i="6"/>
  <c r="F174" i="6"/>
  <c r="F175" i="6"/>
  <c r="F176" i="6"/>
  <c r="F177" i="6"/>
  <c r="F178" i="6"/>
  <c r="F179" i="6"/>
  <c r="F180" i="6"/>
  <c r="F181" i="6"/>
  <c r="F182" i="6"/>
  <c r="F183" i="6"/>
  <c r="F184" i="6"/>
  <c r="F185" i="6"/>
  <c r="F186" i="6"/>
  <c r="F187" i="6"/>
  <c r="F188" i="6"/>
  <c r="F189" i="6"/>
  <c r="F190" i="6"/>
  <c r="F191" i="6"/>
  <c r="F192" i="6"/>
  <c r="F193" i="6"/>
  <c r="F194" i="6"/>
  <c r="F195" i="6"/>
  <c r="F196" i="6"/>
  <c r="F197" i="6"/>
  <c r="F198" i="6"/>
  <c r="F199" i="6"/>
  <c r="F200" i="6"/>
  <c r="F201" i="6"/>
  <c r="F202" i="6"/>
  <c r="F203" i="6"/>
  <c r="F204" i="6"/>
  <c r="F205" i="6"/>
  <c r="F206" i="6"/>
  <c r="F207" i="6"/>
  <c r="F208" i="6"/>
  <c r="F209" i="6"/>
  <c r="F210" i="6"/>
  <c r="F211" i="6"/>
  <c r="F212" i="6"/>
  <c r="F213" i="6"/>
  <c r="F214" i="6"/>
  <c r="F215" i="6"/>
  <c r="F216" i="6"/>
  <c r="F217" i="6"/>
  <c r="F218" i="6"/>
  <c r="F219" i="6"/>
  <c r="F220" i="6"/>
  <c r="F221" i="6"/>
  <c r="F222" i="6"/>
  <c r="F223" i="6"/>
  <c r="F224" i="6"/>
  <c r="F225" i="6"/>
  <c r="F226" i="6"/>
  <c r="F227" i="6"/>
  <c r="F228" i="6"/>
  <c r="F229" i="6"/>
  <c r="F230" i="6"/>
  <c r="F231" i="6"/>
  <c r="F232" i="6"/>
  <c r="F233" i="6"/>
  <c r="F234" i="6"/>
  <c r="F235" i="6"/>
  <c r="F236" i="6"/>
  <c r="F237" i="6"/>
  <c r="F238" i="6"/>
  <c r="F239" i="6"/>
  <c r="F240" i="6"/>
  <c r="F241" i="6"/>
  <c r="F242" i="6"/>
  <c r="F243" i="6"/>
  <c r="F244" i="6"/>
  <c r="F245" i="6"/>
  <c r="F246" i="6"/>
  <c r="F247" i="6"/>
  <c r="F248" i="6"/>
  <c r="F249" i="6"/>
  <c r="F250" i="6"/>
  <c r="F251" i="6"/>
  <c r="F252" i="6"/>
  <c r="F253" i="6"/>
  <c r="F254" i="6"/>
  <c r="F255" i="6"/>
  <c r="F256" i="6"/>
  <c r="F257" i="6"/>
  <c r="F258" i="6"/>
  <c r="F259" i="6"/>
  <c r="F260" i="6"/>
  <c r="F261" i="6"/>
  <c r="F262" i="6"/>
  <c r="F263" i="6"/>
  <c r="F264" i="6"/>
  <c r="F265" i="6"/>
  <c r="F266" i="6"/>
  <c r="F267" i="6"/>
  <c r="F268" i="6"/>
  <c r="F269" i="6"/>
  <c r="F270" i="6"/>
  <c r="F271" i="6"/>
  <c r="F272" i="6"/>
  <c r="F273" i="6"/>
  <c r="F274" i="6"/>
  <c r="F275" i="6"/>
  <c r="F276" i="6"/>
  <c r="F277" i="6"/>
  <c r="F278" i="6"/>
  <c r="F279" i="6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F411" i="6"/>
  <c r="F412" i="6"/>
  <c r="F413" i="6"/>
  <c r="F414" i="6"/>
  <c r="F415" i="6"/>
  <c r="F416" i="6"/>
  <c r="F417" i="6"/>
  <c r="F418" i="6"/>
  <c r="F419" i="6"/>
  <c r="F420" i="6"/>
  <c r="F421" i="6"/>
  <c r="F422" i="6"/>
  <c r="F423" i="6"/>
  <c r="F424" i="6"/>
  <c r="F425" i="6"/>
  <c r="F426" i="6"/>
  <c r="F427" i="6"/>
  <c r="F428" i="6"/>
  <c r="F429" i="6"/>
  <c r="F430" i="6"/>
  <c r="F431" i="6"/>
  <c r="F432" i="6"/>
  <c r="F433" i="6"/>
  <c r="F434" i="6"/>
  <c r="F435" i="6"/>
  <c r="F436" i="6"/>
  <c r="F437" i="6"/>
  <c r="F438" i="6"/>
  <c r="F439" i="6"/>
  <c r="F440" i="6"/>
  <c r="F441" i="6"/>
  <c r="F442" i="6"/>
  <c r="F443" i="6"/>
  <c r="F444" i="6"/>
  <c r="F445" i="6"/>
  <c r="F446" i="6"/>
  <c r="F447" i="6"/>
  <c r="F448" i="6"/>
  <c r="F449" i="6"/>
  <c r="F450" i="6"/>
  <c r="F451" i="6"/>
  <c r="F452" i="6"/>
  <c r="F453" i="6"/>
  <c r="F454" i="6"/>
  <c r="F455" i="6"/>
  <c r="F456" i="6"/>
  <c r="F457" i="6"/>
  <c r="F458" i="6"/>
  <c r="F459" i="6"/>
  <c r="F460" i="6"/>
  <c r="F461" i="6"/>
  <c r="F462" i="6"/>
  <c r="F463" i="6"/>
  <c r="F464" i="6"/>
  <c r="F465" i="6"/>
  <c r="F466" i="6"/>
  <c r="F467" i="6"/>
  <c r="F468" i="6"/>
  <c r="F469" i="6"/>
  <c r="F470" i="6"/>
  <c r="F471" i="6"/>
  <c r="F472" i="6"/>
  <c r="F473" i="6"/>
  <c r="F474" i="6"/>
  <c r="F475" i="6"/>
  <c r="F476" i="6"/>
  <c r="F477" i="6"/>
  <c r="F478" i="6"/>
  <c r="F479" i="6"/>
  <c r="F480" i="6"/>
  <c r="F481" i="6"/>
  <c r="F482" i="6"/>
  <c r="F483" i="6"/>
  <c r="F484" i="6"/>
  <c r="F485" i="6"/>
  <c r="F486" i="6"/>
  <c r="F487" i="6"/>
  <c r="F488" i="6"/>
  <c r="F489" i="6"/>
  <c r="F490" i="6"/>
  <c r="F491" i="6"/>
  <c r="F492" i="6"/>
  <c r="F493" i="6"/>
  <c r="F494" i="6"/>
  <c r="F495" i="6"/>
  <c r="F496" i="6"/>
  <c r="F497" i="6"/>
  <c r="F498" i="6"/>
  <c r="F499" i="6"/>
  <c r="F500" i="6"/>
  <c r="F501" i="6"/>
  <c r="F502" i="6"/>
  <c r="F503" i="6"/>
  <c r="F504" i="6"/>
  <c r="F505" i="6"/>
  <c r="F506" i="6"/>
  <c r="F507" i="6"/>
  <c r="F508" i="6"/>
  <c r="F509" i="6"/>
  <c r="F510" i="6"/>
  <c r="F511" i="6"/>
  <c r="F512" i="6"/>
  <c r="F513" i="6"/>
  <c r="F514" i="6"/>
  <c r="F515" i="6"/>
  <c r="F516" i="6"/>
  <c r="F517" i="6"/>
  <c r="F518" i="6"/>
  <c r="F519" i="6"/>
  <c r="F520" i="6"/>
  <c r="F521" i="6"/>
  <c r="F522" i="6"/>
  <c r="F523" i="6"/>
  <c r="F524" i="6"/>
  <c r="F525" i="6"/>
  <c r="F526" i="6"/>
  <c r="F527" i="6"/>
  <c r="F528" i="6"/>
  <c r="F529" i="6"/>
  <c r="F530" i="6"/>
  <c r="F531" i="6"/>
  <c r="F532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28B3D9-7388-44CB-B75C-D8F304161562}" keepAlive="1" name="Consulta - ml-highlights_2023-09-07_00-12-12" description="Conexión a la consulta 'ml-highlights_2023-09-07_00-12-12' en el libro." type="5" refreshedVersion="6" background="1">
    <dbPr connection="Provider=Microsoft.Mashup.OleDb.1;Data Source=$Workbook$;Location=ml-highlights_2023-09-07_00-12-12;Extended Properties=&quot;&quot;" command="SELECT * FROM [ml-highlights_2023-09-07_00-12-12]"/>
  </connection>
  <connection id="2" xr16:uid="{FC161C40-A198-4582-8598-F4B5DAFB801F}" keepAlive="1" name="Consulta - ml-highlights_2023-09-07_00-12-12 (2)" description="Conexión a la consulta 'ml-highlights_2023-09-07_00-12-12 (2)' en el libro." type="5" refreshedVersion="6" background="1" saveData="1">
    <dbPr connection="Provider=Microsoft.Mashup.OleDb.1;Data Source=$Workbook$;Location=ml-highlights_2023-09-07_00-12-12 (2);Extended Properties=&quot;&quot;" command="SELECT * FROM [ml-highlights_2023-09-07_00-12-12 (2)]"/>
  </connection>
</connections>
</file>

<file path=xl/sharedStrings.xml><?xml version="1.0" encoding="utf-8"?>
<sst xmlns="http://schemas.openxmlformats.org/spreadsheetml/2006/main" count="3060" uniqueCount="1518">
  <si>
    <t>id</t>
  </si>
  <si>
    <t>sold_quantity</t>
  </si>
  <si>
    <t>name</t>
  </si>
  <si>
    <t>price</t>
  </si>
  <si>
    <t>date_created</t>
  </si>
  <si>
    <t>category_name</t>
  </si>
  <si>
    <t>category_id</t>
  </si>
  <si>
    <t>entity_type</t>
  </si>
  <si>
    <t>MLA19148883</t>
  </si>
  <si>
    <t>Smart Tech JSD-520</t>
  </si>
  <si>
    <t>Accesorios para Vehículos</t>
  </si>
  <si>
    <t>MLA5725</t>
  </si>
  <si>
    <t>PRODUCT</t>
  </si>
  <si>
    <t>MLA15018045</t>
  </si>
  <si>
    <t>Neumático Pirelli Formula Energy P 175/65R14 82 T</t>
  </si>
  <si>
    <t>MLA15737754</t>
  </si>
  <si>
    <t>Cubierta trasera para moto Pirelli Super City para uso con cámara de 90/90-18 P 51 x 1 unidad</t>
  </si>
  <si>
    <t>MLA20023033</t>
  </si>
  <si>
    <t>Pack 4 Paños Microfibra Multiuso Limpieza Auto Hogar Oficina Color Varios</t>
  </si>
  <si>
    <t>MLA785918507</t>
  </si>
  <si>
    <t>Kit Led Cree Cob H1 H7 H3 9005 12/24v 2019 C6+ 2 Posicion</t>
  </si>
  <si>
    <t>ITEM</t>
  </si>
  <si>
    <t>MLA22386055</t>
  </si>
  <si>
    <t>Aceite para motor Total semi-sintético 10W-40 para autos, pickups &amp; suvs de 1 unidad x 4L</t>
  </si>
  <si>
    <t>MLA19628368</t>
  </si>
  <si>
    <t>Aceite para motor Valvoline semi-sintético 10W-40 para autos, pickups &amp; suv de 1 unidad x 3.784L</t>
  </si>
  <si>
    <t>MLA19719361</t>
  </si>
  <si>
    <t>Aspiradora Para Auto Y Hogar Yelmo As-3240 Recargable Usb C</t>
  </si>
  <si>
    <t>MLA19667474</t>
  </si>
  <si>
    <t>Aceite para motor Shell semi-sintético 10W-40 para autos, pickups &amp; suvs x 4L</t>
  </si>
  <si>
    <t>MLA19628361</t>
  </si>
  <si>
    <t>Shell Helix HX8 Professional AV 5W-40 - 4 L - Unidad - 1 - 4 L</t>
  </si>
  <si>
    <t>MLA935661345</t>
  </si>
  <si>
    <t>Scanner Automotriz Multimarca Elm327 Obd2 V2.1 Bluetooth</t>
  </si>
  <si>
    <t>MLA853627996</t>
  </si>
  <si>
    <t>Cubierta Drook 2.75 14 Tt 6 Telas Trip/biz/smash/110c</t>
  </si>
  <si>
    <t>MLA904876200</t>
  </si>
  <si>
    <t>Candado Blindado Para Moto Traba Disco Con Alarma 2 Llaves</t>
  </si>
  <si>
    <t>MLA801388354</t>
  </si>
  <si>
    <t>Stereo Auto Doble Din Pantalla Tactil Mirrorlink Camara Rev</t>
  </si>
  <si>
    <t>MLA862867157</t>
  </si>
  <si>
    <t>Stereo Auto Pantalla Bluetooth Mp3 Usb Fm Lcd Auto</t>
  </si>
  <si>
    <t>MLA606861275</t>
  </si>
  <si>
    <t>Funda Cubre Moto Cobertor Lluvia Polvo Sol.  Cubre Moto</t>
  </si>
  <si>
    <t>MLA23380726</t>
  </si>
  <si>
    <t>Stereo Para Auto Bluetooth Display Lcd Mp3 Usb Radio Fm Sd</t>
  </si>
  <si>
    <t>MLA924716196</t>
  </si>
  <si>
    <t>Funda Cubre Coche Impermeable Con Bolso De Regalo S-xl</t>
  </si>
  <si>
    <t>MLA1364708505</t>
  </si>
  <si>
    <t>Kit Cree Led C6 Mini H4 H1 H7 H3 H8 H11 H16 Psx24w 9006</t>
  </si>
  <si>
    <t>MLA13121234</t>
  </si>
  <si>
    <t>Hidrolavadora eléctrica Lüsqtoff HL-120 naranja y negra de 1200W con 105bar de presión máxima 220V - 50Hz</t>
  </si>
  <si>
    <t>Agro</t>
  </si>
  <si>
    <t>MLA1512</t>
  </si>
  <si>
    <t>MLA15829403</t>
  </si>
  <si>
    <t>Lüsqtoff Flux SML130-7 - Naranja/Negro - 220V - 50 Hz</t>
  </si>
  <si>
    <t>MLA19200921</t>
  </si>
  <si>
    <t>Lüsqtoff Megairon-100 - Naranja/Negro - 220V - 50 Hz/60 Hz</t>
  </si>
  <si>
    <t>MLA14603977</t>
  </si>
  <si>
    <t>Bomba periférica Gamma Leve QB60 0.5hp color celeste 60Hz 220V</t>
  </si>
  <si>
    <t>MLA16216420</t>
  </si>
  <si>
    <t>Hidrolavadora eléctrica Daewoo Eco DAX21-150 de 2000W con 140bar de presión máxima 220V</t>
  </si>
  <si>
    <t>MLA19586510</t>
  </si>
  <si>
    <t>Soldadora inverter Daewoo MINIDWMMA MINIDW100MMA MINIDW100MMA negra y naranja 50Hz 220V</t>
  </si>
  <si>
    <t>MLA17717346</t>
  </si>
  <si>
    <t>Hidrolavadora eléctrica Cadena Zero HI110 ZEHI110 de 1450W con 110bar de presión máxima 220V</t>
  </si>
  <si>
    <t>MLA16479701</t>
  </si>
  <si>
    <t>Kushiro BP 80 - Negro - 220V - 1 hp</t>
  </si>
  <si>
    <t>MLA21791453</t>
  </si>
  <si>
    <t>Tanque De Agua 300 Lts Extra Chato 64 Cm Alto X 83 Cm Diam</t>
  </si>
  <si>
    <t>MLA928701530</t>
  </si>
  <si>
    <t>Hilo Electroplastico Electroplast 1000 Metros Standard Full</t>
  </si>
  <si>
    <t>MLA902005840</t>
  </si>
  <si>
    <t>Hilo Electroplastico Electroplast 500 Metros Standard Full</t>
  </si>
  <si>
    <t>MLA1104509514</t>
  </si>
  <si>
    <t>100 Aisladores Aislantes Para Boyero Campanita Envio Rapido</t>
  </si>
  <si>
    <t>MLA1125369616</t>
  </si>
  <si>
    <t>Hilo Boyero Electrico Electroplast® 500 Metros Standard 4h</t>
  </si>
  <si>
    <t>MLA913169453</t>
  </si>
  <si>
    <t>Pinza Caravanas Universal Tipo Allflex Con Aguja De Repuesto</t>
  </si>
  <si>
    <t>MLA908877608</t>
  </si>
  <si>
    <t>Boyero Vaquero 60 Km Mas Panel Solar 10w</t>
  </si>
  <si>
    <t>MLA1316644717</t>
  </si>
  <si>
    <t>Electrificador - Boyero Electro 5km</t>
  </si>
  <si>
    <t>MLA773913817</t>
  </si>
  <si>
    <t>Pinza Elastrator Castracion Bovino / Ovino + 100 Gomitas</t>
  </si>
  <si>
    <t>MLA1102737510</t>
  </si>
  <si>
    <t>Cable Electroplastico 6 Alambres X 500mts [4 Bobinas] Boyero</t>
  </si>
  <si>
    <t>MLA1318702355</t>
  </si>
  <si>
    <t>Electrificador - Boyero Electro 15km</t>
  </si>
  <si>
    <t>MLA1142088345</t>
  </si>
  <si>
    <t>Semillas De Mijo Forrajero Siembra, Pastura, Brote X 30 Kg</t>
  </si>
  <si>
    <t>MLA16167744</t>
  </si>
  <si>
    <t>Café au lait en cápsula Nescafé Dolce Gusto</t>
  </si>
  <si>
    <t>Alimentos y Bebidas</t>
  </si>
  <si>
    <t>MLA1403</t>
  </si>
  <si>
    <t>MLA19629590</t>
  </si>
  <si>
    <t>16 Capsulas Cortado Espresso Dolce Gusto Nescafe</t>
  </si>
  <si>
    <t>MLA16167699</t>
  </si>
  <si>
    <t>Cápsulas Nescafé Dolce Gusto Lungo</t>
  </si>
  <si>
    <t>MLA16167625</t>
  </si>
  <si>
    <t>Cápsulas Nescafé Dolce Gusto Cappuccino</t>
  </si>
  <si>
    <t>MLA16167792</t>
  </si>
  <si>
    <t>Cápsulas Nescafé Dolce Gusto Latte Macchiato</t>
  </si>
  <si>
    <t>MLA21017193</t>
  </si>
  <si>
    <t>Yerba mate Playadito suave 1000g</t>
  </si>
  <si>
    <t>MLA16595257</t>
  </si>
  <si>
    <t>Mayonesa Natura sin TACC en doypack 500 ml</t>
  </si>
  <si>
    <t>MLA19939007</t>
  </si>
  <si>
    <t xml:space="preserve">Leche Descremada Larga Vida X 1 L Tregar </t>
  </si>
  <si>
    <t>MLA16010049</t>
  </si>
  <si>
    <t xml:space="preserve">Aceite de girasol Natura botellasin TACC 1.5 l </t>
  </si>
  <si>
    <t>MLA16595027</t>
  </si>
  <si>
    <t>Mayonesa Natura sin gluten doypack 950g</t>
  </si>
  <si>
    <t>MLA20719337</t>
  </si>
  <si>
    <t>Fideos Tirabuzón Lucchetti 500g</t>
  </si>
  <si>
    <t>MLA19839481</t>
  </si>
  <si>
    <t>Yerba mate Canarias sabor tradicional 1kg</t>
  </si>
  <si>
    <t>MLA19938866</t>
  </si>
  <si>
    <t>Cápsulas Starbucks Caramel Macchiato X 12 Dolce Gusto</t>
  </si>
  <si>
    <t>MLA22575565</t>
  </si>
  <si>
    <t>Galletitas De Agua Sandwich La Providencia Pack Familiar X5</t>
  </si>
  <si>
    <t>MLA16010002</t>
  </si>
  <si>
    <t xml:space="preserve">Aceite de girasol Natura botella3 l </t>
  </si>
  <si>
    <t>MLA19593112</t>
  </si>
  <si>
    <t>Aceite De Coco God Bless You Neutro 1L</t>
  </si>
  <si>
    <t>MLA19875119</t>
  </si>
  <si>
    <t xml:space="preserve"> Muecas Caja X16 Barritas Cereal Chocolate Avellanas Y Coco</t>
  </si>
  <si>
    <t>MLA19609638</t>
  </si>
  <si>
    <t>Galletitas Surtido Bagley Paquete De 398 Grs</t>
  </si>
  <si>
    <t>MLA21088240</t>
  </si>
  <si>
    <t>Caja 40 Alfajores Guaymallen Chocolate Negro Dulce De Leche</t>
  </si>
  <si>
    <t>MLA1107994166</t>
  </si>
  <si>
    <t xml:space="preserve">Oferta De Vino Luigi  En Combo (8 Botellas)a. Quirino </t>
  </si>
  <si>
    <t>MLA8726956</t>
  </si>
  <si>
    <t>Alimento Excellent Adult para gato adulto sabor pollo y arroz en bolsa de 7.5 kg</t>
  </si>
  <si>
    <t>Animales y Mascotas</t>
  </si>
  <si>
    <t>MLA1071</t>
  </si>
  <si>
    <t>MLA15135858</t>
  </si>
  <si>
    <t>Alimento Royal Canin Size Health Nutrition Mini Adult para perro adulto de raza pequeña sabor mix en bolsa de 7.5 kg</t>
  </si>
  <si>
    <t>MLA8755744</t>
  </si>
  <si>
    <t>Alimento Royal Canin Club Performance Adult para perro adulto todos los tamaños sabor mix en bolsa de 20 kg</t>
  </si>
  <si>
    <t>MLA15233904</t>
  </si>
  <si>
    <t>Alimento Maintenance Criadores  para perro adulto todos los tamaños sabor carne y pollo en bolsa de 22 kg</t>
  </si>
  <si>
    <t>MLA8975871</t>
  </si>
  <si>
    <t>Agroindustrias Baires Old Prince Premium Perro Adulto - Todos los tamaños - Pollo/Carne - 20 kg - Bolsa - Seca</t>
  </si>
  <si>
    <t>MLA8726955</t>
  </si>
  <si>
    <t>Alimento Excellent Adult para gato adulto sabor pollo y arroz en bolsa de 15 kg</t>
  </si>
  <si>
    <t>MLA8726953</t>
  </si>
  <si>
    <t>Purina Excellent Urinary Gato Adulto - Pollo/Arroz - 7.5 kg - 7.5 kg - Bolsa - Seca - Unidad - 1</t>
  </si>
  <si>
    <t>MLA15394015</t>
  </si>
  <si>
    <t>Alimento Excellent Maintenance Formula para perro adulto todos los tamaños sabor mix en bolsa de 20 kg</t>
  </si>
  <si>
    <t>MLA8755752</t>
  </si>
  <si>
    <t>Alimento Sieger Criadores All In One para perro todos los tamaños en bolsa de 20 kg</t>
  </si>
  <si>
    <t>MLA15135849</t>
  </si>
  <si>
    <t>Alimento Royal Canin Size Health Nutrition Medium Adult para perro adulto de raza mediana sabor mix en bolsa de 15 kg</t>
  </si>
  <si>
    <t>MLA15135851</t>
  </si>
  <si>
    <t>Mars Petcare Royal Canin Size Health Nutrition Maxi Adult Perro Adulto - Grande - Mix - 15 kg - Bolsa - Seca</t>
  </si>
  <si>
    <t>MLA8918888</t>
  </si>
  <si>
    <t>Alimento Royal Canin Club Performance para gato adulto sabor mix en bolsa de 7.5 kg</t>
  </si>
  <si>
    <t>MLA15144814</t>
  </si>
  <si>
    <t>Alimento Pro Plan OptiHealth Pro Plan para perro adulto de raza mediana sabor pollo y arroz en bolsa de 18 kg</t>
  </si>
  <si>
    <t>MLA15168925</t>
  </si>
  <si>
    <t>Alimento Pedigree Óptima Digestión Etapa 2 para perro adulto todos los tamaños sabor carne, pollo y cereales en bolsa de 21 kg</t>
  </si>
  <si>
    <t>MLA10201197</t>
  </si>
  <si>
    <t>Alimento Agility Active Health para perro adulto de raza mediana y grande sabor mix en bolsa de 20 kg</t>
  </si>
  <si>
    <t>MLA13125652</t>
  </si>
  <si>
    <t>Alimento Agility Premium Urinary para gato adulto sabor mix en bolsa de 10 kg</t>
  </si>
  <si>
    <t>MLA11878396</t>
  </si>
  <si>
    <t>Alimento Royal Canin Feline Health Nutrition Fit para gato adulto sabor mix en bolsa de 15 kg</t>
  </si>
  <si>
    <t>MLA22371309</t>
  </si>
  <si>
    <t>Old Prince Noveles Cordero Y Arroz Adulto  X 18 Kg</t>
  </si>
  <si>
    <t>MLA20995296</t>
  </si>
  <si>
    <t>Old Prince Premium Adultos Todos Los Tamaños En Bolsa De 23 Kg</t>
  </si>
  <si>
    <t>MLA1122016361</t>
  </si>
  <si>
    <t>Piedritas Para Gatos Aglomerante Rubicat 21,2kg Persa Siames</t>
  </si>
  <si>
    <t>MLA15843641</t>
  </si>
  <si>
    <t>Samsung VC20CCNMA 1.5 L - Negro - 220V</t>
  </si>
  <si>
    <t>Antigüedades y Colecciones</t>
  </si>
  <si>
    <t>MLA1367</t>
  </si>
  <si>
    <t>MLA925577126</t>
  </si>
  <si>
    <t>Mini Perfumero Portátil Recargable 5ml Atomizador Colores</t>
  </si>
  <si>
    <t>MLA15157343</t>
  </si>
  <si>
    <t>Oster Perfect Brew BVSTEM7300 - Acero inoxidable - 220V</t>
  </si>
  <si>
    <t>MLA20008375</t>
  </si>
  <si>
    <t>Molinillo De Cafe Y Semillas Peabody Smart Chef Pe-mc9100</t>
  </si>
  <si>
    <t>MLA20008383</t>
  </si>
  <si>
    <t>Molinillo De Cafe Ultracomb Mo8100a 120w Acero Inoxidable</t>
  </si>
  <si>
    <t>MLA900665663</t>
  </si>
  <si>
    <t>Mini Perfumero Portatil Recargable 5ml Ideal Viajes Colores</t>
  </si>
  <si>
    <t>MLA900683500</t>
  </si>
  <si>
    <t>Mini Perfumero Portatil Recargable 5ml Atomizador Colores</t>
  </si>
  <si>
    <t>MLA20008386</t>
  </si>
  <si>
    <t>Molinillo De Cafe Oster Mh23 Color Gris</t>
  </si>
  <si>
    <t>MLA1285511942</t>
  </si>
  <si>
    <t>MLA623602486</t>
  </si>
  <si>
    <t>Bandera Argentina 90 X 150cm Con Sol Oferta!!!</t>
  </si>
  <si>
    <t>MLA859199369</t>
  </si>
  <si>
    <t>Mini Perfumero Recargable 8ml A Rosca Porta Perfume Locion</t>
  </si>
  <si>
    <t>MLA20035787</t>
  </si>
  <si>
    <t>Licuadora De Vaso Atma Li8444rp 500w 5 Velocidades</t>
  </si>
  <si>
    <t>MLA904219695</t>
  </si>
  <si>
    <t>Banderas Publicitarias Promocionales Personalizadas 100x70cm</t>
  </si>
  <si>
    <t>MLA635816739</t>
  </si>
  <si>
    <t>Bandera Argentina 60 X 90cm Con Sol Oferta!!!</t>
  </si>
  <si>
    <t>MLA851085844</t>
  </si>
  <si>
    <t>Bandera Argentina De Flameo *140x250cms* - Oficial Reforzada</t>
  </si>
  <si>
    <t>MLA1383134100</t>
  </si>
  <si>
    <t>5 Mini Perfumeros Portátil Recargable 5ml Atomizador Colores</t>
  </si>
  <si>
    <t>MLA721293444</t>
  </si>
  <si>
    <t>Mini Perfumero Recargable X 5u Via Atomizador 5ml Promoción</t>
  </si>
  <si>
    <t>MLA670769993</t>
  </si>
  <si>
    <t>Regalo Dia Amigo X 10 U. Perfumero Recargable 5ml Atomizador</t>
  </si>
  <si>
    <t>MLA1373255195</t>
  </si>
  <si>
    <t>MLA1347075767</t>
  </si>
  <si>
    <t>Bandera Javier Milei 2023 90 X 150cm</t>
  </si>
  <si>
    <t>MLA14811959</t>
  </si>
  <si>
    <t>Art-Jet A4 fotográfico de 20 hojas de 115g color blanco por unidad</t>
  </si>
  <si>
    <t>Arte, Librería y Mercería</t>
  </si>
  <si>
    <t>MLA1368</t>
  </si>
  <si>
    <t>MLA20800098</t>
  </si>
  <si>
    <t>Resma Punax A4 75 gr</t>
  </si>
  <si>
    <t>MLA11578259</t>
  </si>
  <si>
    <t>Resma Autor A4 multifunción de 500 hojas de 75g color blanco por unidad</t>
  </si>
  <si>
    <t>MLA14814752</t>
  </si>
  <si>
    <t>Resma Boreal A4 multifunción de 500 hojas de 75g color blanco por unidad</t>
  </si>
  <si>
    <t>MLA20794899</t>
  </si>
  <si>
    <t>Kit 10 Resma Pampa A4 multifunción de 500 hojas de 70 gr color blanco</t>
  </si>
  <si>
    <t>MLA23644151</t>
  </si>
  <si>
    <t>Pizarra Blanca 120x300 Marco Aluminio Clase X Zoom O Escuela</t>
  </si>
  <si>
    <t>MLA23565243</t>
  </si>
  <si>
    <t>Pizarra Blanca 90x140cm Prémium + Accesorios</t>
  </si>
  <si>
    <t>MLA840031481</t>
  </si>
  <si>
    <t>Cinta Al Bies Colores Varios Ancho 20 Mm Rollo X 25 Mts</t>
  </si>
  <si>
    <t>MLA877387604</t>
  </si>
  <si>
    <t>Resma A4 Pampa 500 Hojas 70gr Papel Blanco X 10unid</t>
  </si>
  <si>
    <t>MLA1123489347</t>
  </si>
  <si>
    <t>Kit 10 Resmas Pampa A4 70 G Papel Blanco Caja X10 U</t>
  </si>
  <si>
    <t>MLA743644205</t>
  </si>
  <si>
    <t>Calculadora Científica 20 Dígitos Funciones Números Escolar</t>
  </si>
  <si>
    <t>MLA929623547</t>
  </si>
  <si>
    <t>Kit 10 Resmas Boreal A4 75gr 21x29,7 Papel Blanco Alcalino</t>
  </si>
  <si>
    <t>MLA1111539962</t>
  </si>
  <si>
    <t>Cera De Soja Comercial X 1 Kilo. Soy Wax. Excelente Calidad.</t>
  </si>
  <si>
    <t>MLA864658460</t>
  </si>
  <si>
    <t xml:space="preserve">Hilo De Algodon Macrame Crudo Mejor Calidad Varios Grosores </t>
  </si>
  <si>
    <t>MLA896652682</t>
  </si>
  <si>
    <t>Lapicera Parker Jotter Con Grabado De Texto O Logo</t>
  </si>
  <si>
    <t>MLA1374121719</t>
  </si>
  <si>
    <t>Marcadores Filgo Alloy Sketch Artisticos Doble Punta X 12 Un</t>
  </si>
  <si>
    <t>MLA1133470067</t>
  </si>
  <si>
    <t>200 Dijes Cuentas Plásticas Blancas C/letra Color Negro 7mm</t>
  </si>
  <si>
    <t>MLA1112249974</t>
  </si>
  <si>
    <t>Cinta Doble Faz Transparente Silicona Nanotecnología 1m</t>
  </si>
  <si>
    <t>MLA1113212602</t>
  </si>
  <si>
    <t>Resina Joyería Epoxi Transparente Vidrio Liquido 150g Joyas</t>
  </si>
  <si>
    <t>MLA1109878009</t>
  </si>
  <si>
    <t>Marcadores Mooving Pincelados Punta Pincel Set X 16 Colores</t>
  </si>
  <si>
    <t>MLA17413071</t>
  </si>
  <si>
    <t>Huggies Supreme Care - XXG - Sin género - 50</t>
  </si>
  <si>
    <t>Bebés</t>
  </si>
  <si>
    <t>MLA1384</t>
  </si>
  <si>
    <t>MLA15821802</t>
  </si>
  <si>
    <t>Leche de fórmula en polvo sin TACC Nutricia Bagó Nutrilon Profutura 2 en bolsa de 1 de 1.2kg - 6  a 12 meses</t>
  </si>
  <si>
    <t>MLA15821801</t>
  </si>
  <si>
    <t>Nutricia Bagó Nutrilon Profutura 3 En polvo - Bolsa - Unidad - 1 - 1.2 kg</t>
  </si>
  <si>
    <t>MLA17413070</t>
  </si>
  <si>
    <t>Pañales Huggies Supreme Care  XG 52 u</t>
  </si>
  <si>
    <t>MLA15993170</t>
  </si>
  <si>
    <t>Óleo calcáreo Estrella Baby Sin Fragancia 950 ml</t>
  </si>
  <si>
    <t>MLA15821799</t>
  </si>
  <si>
    <t>Leche de fórmula en polvo sin TACC Nutricia Bagó Nutrilon Profutura 1 en bolsa de 1 de 1.2kg - 0  a 6 meses</t>
  </si>
  <si>
    <t>MLA15995382</t>
  </si>
  <si>
    <t>Toallitas húmedas Q-Soft Aloe Vera 50 u</t>
  </si>
  <si>
    <t>MLA17460321</t>
  </si>
  <si>
    <t>Pampers Premium Care Pants - XXG - Sin género - 52</t>
  </si>
  <si>
    <t>MLA19475008</t>
  </si>
  <si>
    <t>Nutrilon 1 Profutura - 0 A 6 Meses Brick 200ml X 24un</t>
  </si>
  <si>
    <t>MLA19475010</t>
  </si>
  <si>
    <t>Nutrilon 2 Profutura - 6 A 12 Meses Brick 200ml X 24un</t>
  </si>
  <si>
    <t>MLA10791888</t>
  </si>
  <si>
    <t>Nestlé nidina 2 polvo 800gr</t>
  </si>
  <si>
    <t>MLA14561679</t>
  </si>
  <si>
    <t>Leche de fórmula líquida sin TACC Mead Johnson SanCor Bebé 2 en brick - Pack de 12 de 500mL - 6  a 12 meses</t>
  </si>
  <si>
    <t>MLA19590484</t>
  </si>
  <si>
    <t>Toallas Húmedas Huggies Triple Protección X 80unidades M A F</t>
  </si>
  <si>
    <t>MLA19475009</t>
  </si>
  <si>
    <t>Nutrilon 3 Profutura - 1 Año En Adelante Brick 200ml X 24un</t>
  </si>
  <si>
    <t>MLA23414355</t>
  </si>
  <si>
    <t>Pañales Pampers Premium Care XXG 88 unidades</t>
  </si>
  <si>
    <t>MLA21553476</t>
  </si>
  <si>
    <t>Juguete Cactus Bailarín Con Música Canta Baila Y Repite Voz</t>
  </si>
  <si>
    <t>MLA22520282</t>
  </si>
  <si>
    <t>Pañales Pampers Premium Hipoalergenico  XG 96 u</t>
  </si>
  <si>
    <t>MLA910506725</t>
  </si>
  <si>
    <t>Fular Portabebe Porteo Ergonomico Talle Universal 5 Metros!!</t>
  </si>
  <si>
    <t>MLA1115535942</t>
  </si>
  <si>
    <t>Cactus Bailarin Tiktok Juguete Baila Canta Repite Voz</t>
  </si>
  <si>
    <t>MLA1223569894</t>
  </si>
  <si>
    <t xml:space="preserve">Bañera Bebe Plegable Ultra Compacta Tapón De Drenaje Love </t>
  </si>
  <si>
    <t>MLA18956615</t>
  </si>
  <si>
    <t>Serum Revitalift Loreal Paris Ácido Hialurónico 30ml</t>
  </si>
  <si>
    <t>Belleza y Cuidado Personal</t>
  </si>
  <si>
    <t>MLA1246</t>
  </si>
  <si>
    <t>MLA18957818</t>
  </si>
  <si>
    <t>Garnier Skin Active Sérum iluminador Vitamina C día/noche para todo tipo de piel de 30mL</t>
  </si>
  <si>
    <t>MLA18455278</t>
  </si>
  <si>
    <t>Recortadora Vintage Profissional T9 negra</t>
  </si>
  <si>
    <t>MLA16048275</t>
  </si>
  <si>
    <t>Protector solar Eucerin Oil Control FPS 50 Toque Seco en gel crema de 50 mL</t>
  </si>
  <si>
    <t>MLA17378222</t>
  </si>
  <si>
    <t>Serum Oleo Extraordinario Nutricion X100 Elvive Loreal Paris</t>
  </si>
  <si>
    <t>MLA15574680</t>
  </si>
  <si>
    <t>Planchita de pelo GA.MA Italy Bella Tourmaline Red Ion negra y roja 110V/220V</t>
  </si>
  <si>
    <t>MLA6093959</t>
  </si>
  <si>
    <t>Perfume Banderas Blue Seduction Edt 100 Ml Para Hombre</t>
  </si>
  <si>
    <t>MLA18570164</t>
  </si>
  <si>
    <t>Secador de pelo GA.MA Italy Mistral Ceramic ION negro 220V</t>
  </si>
  <si>
    <t>MLA20083342</t>
  </si>
  <si>
    <t>Cepillo Plancha Pelo Alisador Secador Electrico Cabello</t>
  </si>
  <si>
    <t>MLA19957366</t>
  </si>
  <si>
    <t>Protector Labial Humectante Nivea Blackberry Shine 4,8 Grs</t>
  </si>
  <si>
    <t>MLA19464946</t>
  </si>
  <si>
    <t xml:space="preserve">Cher. Dieciocho EDP 100 ml para  mujer  </t>
  </si>
  <si>
    <t>MLA19957364</t>
  </si>
  <si>
    <t>Protector Labial Nivea By Labello Fruity Shine Cereza Cherry</t>
  </si>
  <si>
    <t>MLA23546366</t>
  </si>
  <si>
    <t>Maquina De Cortar Pelo Recortadora Patillera Vintage Dragon</t>
  </si>
  <si>
    <t>MLA18558523</t>
  </si>
  <si>
    <t>Secador de pelo BL SECA01 TEDGE 220V</t>
  </si>
  <si>
    <t>MLA19898755</t>
  </si>
  <si>
    <t>Sérum Brightening Serum Lidherma Radian C con vitamina C y ac. hialurónico 30g</t>
  </si>
  <si>
    <t>MLA22478213</t>
  </si>
  <si>
    <t>Serum Noche L'Oréal Paris Revitalift Retinol de 30ml</t>
  </si>
  <si>
    <t>MLA19638909</t>
  </si>
  <si>
    <t>Anthelios Uvmune 400 Fluido Invisible50+ La Roche-posay 50ml</t>
  </si>
  <si>
    <t>MLA19834660</t>
  </si>
  <si>
    <t>Protector Solar Loreal Paris Fps50+ Uv Defender Fluido 40gr</t>
  </si>
  <si>
    <t>MLA1139044549</t>
  </si>
  <si>
    <t>Kit Revitalift L' Oréal Paris Ácido Hialurónico Antiedad</t>
  </si>
  <si>
    <t>MLA21773381</t>
  </si>
  <si>
    <t>Secador de pelo Revlon rvdr773pla2a violeta violeta 220V</t>
  </si>
  <si>
    <t>MLA15285466</t>
  </si>
  <si>
    <t>Auriculares in-ear inalámbricos QCY T1C negro con luz LED</t>
  </si>
  <si>
    <t>Celulares y Teléfonos</t>
  </si>
  <si>
    <t>MLA1051</t>
  </si>
  <si>
    <t>MLA19031223</t>
  </si>
  <si>
    <t>Dongguan Liesheng Electronic Technology Xiaomi Redmi Buds 3 Lite M2110E1 - Negro - 1</t>
  </si>
  <si>
    <t>MLA19174175</t>
  </si>
  <si>
    <t>Xiaomi Mi Smart Band 7 1.62" caja 170mm  negra, malla  negra M2129B1</t>
  </si>
  <si>
    <t>MLA879465297</t>
  </si>
  <si>
    <t>Aro De Luz Led 26 Cm Con Trípode 2 Metros</t>
  </si>
  <si>
    <t>MLA15916979</t>
  </si>
  <si>
    <t>Tarjeta de memoria Kingston SDCS2SP  Canvas Select Plus con adaptador SD 128GB</t>
  </si>
  <si>
    <t>MLA21024384</t>
  </si>
  <si>
    <t>Samsung Galaxy A04 128 GB  negro 4 GB RAM</t>
  </si>
  <si>
    <t>MLA22262934</t>
  </si>
  <si>
    <t>Motorola Moto E13 64gb 2gb Ram Azul Turquesa</t>
  </si>
  <si>
    <t>MLA20630314</t>
  </si>
  <si>
    <t xml:space="preserve">Moto G32 128gb 4 Gb Ram Gris </t>
  </si>
  <si>
    <t>MLA22827333</t>
  </si>
  <si>
    <t>Samsung Galaxy A14 128gb 4gb Ram Negro</t>
  </si>
  <si>
    <t>MLA21361937</t>
  </si>
  <si>
    <t>Auriculares Inalámbricos Xiaomi Redmi Buds Essential Color Negro</t>
  </si>
  <si>
    <t>MLA18924350</t>
  </si>
  <si>
    <t>Xiaomi Redmi Note 11 (Snapdragon) Dual SIM 128 GB  gris grafito 4 GB RAM</t>
  </si>
  <si>
    <t>MLA22296824</t>
  </si>
  <si>
    <t>Celular Motorola Moto E13 64gb 2gb Ram Color Blanco</t>
  </si>
  <si>
    <t>MLA21433844</t>
  </si>
  <si>
    <t xml:space="preserve"> Moto G72 128 GB  azul niágara 6 GB RAM</t>
  </si>
  <si>
    <t>MLA19878105</t>
  </si>
  <si>
    <t>Samsung Galaxy A04 64gb Color Negro</t>
  </si>
  <si>
    <t>MLA22592543</t>
  </si>
  <si>
    <t>Samsung Galaxy A14 128gb 4gb Ram Silver</t>
  </si>
  <si>
    <t>MLA1255215426</t>
  </si>
  <si>
    <t>Smart Watch Zl02d Reloj Inteligente Para Samsung Xiaomi Y +</t>
  </si>
  <si>
    <t>MLA22271351</t>
  </si>
  <si>
    <t xml:space="preserve"> Moto G13 Dual SIM 128 GB  azul difuso 4 GB RAM</t>
  </si>
  <si>
    <t>MLA18924351</t>
  </si>
  <si>
    <t>Xiaomi Redmi Note 11 (Snapdragon) Dual SIM 128 GB  azul estelar 4 GB RAM</t>
  </si>
  <si>
    <t>MLA1376583785</t>
  </si>
  <si>
    <t>Cargador Samsung Ultra Rapido Original 25w Cable Tipo C A C</t>
  </si>
  <si>
    <t>MLA16224063</t>
  </si>
  <si>
    <t>Auriculares Bluetooth In-Ear Gamer F9-5 Negro Inalámbricos</t>
  </si>
  <si>
    <t>Computación</t>
  </si>
  <si>
    <t>MLA1648</t>
  </si>
  <si>
    <t>MLA17978326</t>
  </si>
  <si>
    <t>Disco sólido interno Kingston SA400S37/480G 480GB negro</t>
  </si>
  <si>
    <t>MLA19035706</t>
  </si>
  <si>
    <t>Disco sólido interno Kingston SA400S37/240G 240GB negro</t>
  </si>
  <si>
    <t>MLA17360590</t>
  </si>
  <si>
    <t>Monitor gamer Samsung F24T35 led 24" azul y gris oscuro 100V/240V</t>
  </si>
  <si>
    <t>MLA19733102</t>
  </si>
  <si>
    <t>Auriculares in-ear gamer inalámbricos TWS F9-5 BTH-F9-5 negro</t>
  </si>
  <si>
    <t>MLA18610706</t>
  </si>
  <si>
    <t>Kit de teclado y mouse inalámbrico Logitech MK235 Español - Negro</t>
  </si>
  <si>
    <t>MLA12661607</t>
  </si>
  <si>
    <t>Disco sólido interno Kingston SA400S37/960G 960GB</t>
  </si>
  <si>
    <t>MLA707010339</t>
  </si>
  <si>
    <t>Cargador Universal Notebook Laptop Netbook Hp Toshiba Acer</t>
  </si>
  <si>
    <t>MLA18570748</t>
  </si>
  <si>
    <t>Memoria RAM Fury Beast DDR4 gamer color negro 8GB 1 Kingston KF432C16BB/8</t>
  </si>
  <si>
    <t>MLA19901624</t>
  </si>
  <si>
    <t>Pendrive Kingston Datatraveler Exodia M Dtxm/64 64gb Usb 3.2</t>
  </si>
  <si>
    <t>MLA19814719</t>
  </si>
  <si>
    <t>Disco Solido Ssd 1tb M.2 Kingston Snv2s/1000g Nvme Pcie 4.0</t>
  </si>
  <si>
    <t>MLA1140416399</t>
  </si>
  <si>
    <t>Filamento Pla 1.75mm 3n3 1kg Impresora 3d Colores | Icutech</t>
  </si>
  <si>
    <t>MLA19807863</t>
  </si>
  <si>
    <t>Kingston SNV2S/500G 500 GB - Azul</t>
  </si>
  <si>
    <t>MLA20878150</t>
  </si>
  <si>
    <t>Auriculares in-ear gamer inalámbricos Soundpeats Free2 Classic negro con luz LED</t>
  </si>
  <si>
    <t>MLA623746040</t>
  </si>
  <si>
    <t>Toner Alternativo Para 105a 107w 135w 1105a 107a 135a S/chip</t>
  </si>
  <si>
    <t>MLA616107124</t>
  </si>
  <si>
    <t>Resma Papel Brillo Autoadhesivo Sticker Calcomanias 100hs</t>
  </si>
  <si>
    <t>MLA615331086</t>
  </si>
  <si>
    <t>Toner Alternativo Para Brother Hl1212w 1617 1200 1212 Tn1060</t>
  </si>
  <si>
    <t>MLA1154161122</t>
  </si>
  <si>
    <t>Filamento Pla+ 1.75mm 3nmax 1kg Impresora 3d | Icutech</t>
  </si>
  <si>
    <t>MLA10295970</t>
  </si>
  <si>
    <t>Joystick inalámbrico Sony PlayStation Dualshock 3 negro</t>
  </si>
  <si>
    <t>Consolas y Videojuegos</t>
  </si>
  <si>
    <t>MLA1144</t>
  </si>
  <si>
    <t>MLA18638143</t>
  </si>
  <si>
    <t>Genérica F9 - Negro</t>
  </si>
  <si>
    <t>MLA6304615</t>
  </si>
  <si>
    <t>Grand Theft Auto V  Standard Edition Rockstar Games PS3 Digital</t>
  </si>
  <si>
    <t>MLA9406415</t>
  </si>
  <si>
    <t>Auriculares gamer Kotion Each G9000 black y blue con luz LED</t>
  </si>
  <si>
    <t>MLA6304594</t>
  </si>
  <si>
    <t>Minecraft  Standard Edition Sony PS3 Digital</t>
  </si>
  <si>
    <t>MLA9406416</t>
  </si>
  <si>
    <t>Auriculares gamer Kotion Each G9000 black y red con luz LED</t>
  </si>
  <si>
    <t>MLA14966925</t>
  </si>
  <si>
    <t>Joystick inalámbrico Sony PlayStation Dualshock 3 rojo</t>
  </si>
  <si>
    <t>MLA10295968</t>
  </si>
  <si>
    <t>Joystick inalámbrico Sony PlayStation Dualshock 3 metallic blue</t>
  </si>
  <si>
    <t>MLA19540150</t>
  </si>
  <si>
    <t>FIFA 23  Standard Edition Electronic Arts PS4 Físico</t>
  </si>
  <si>
    <t>MLA16268160</t>
  </si>
  <si>
    <t>Joystick inalámbrico Microsoft Xbox Wireless Controller Series X|S carbon black</t>
  </si>
  <si>
    <t>MLA18010993</t>
  </si>
  <si>
    <t>Joystick inal PS5 Sony DualSense CFI-ZCT1 midnight black</t>
  </si>
  <si>
    <t>MLA19540157</t>
  </si>
  <si>
    <t>FIFA 23  Standard Edition Electronic Arts PS4 Digital</t>
  </si>
  <si>
    <t>MLA18010994</t>
  </si>
  <si>
    <t>Joystick inalámbrico Sony PlayStation DualSense CFI-ZCT1 cosmic red</t>
  </si>
  <si>
    <t>MLA22743132</t>
  </si>
  <si>
    <t>Grand Theft Auto V  Premium Edition Rockstar Games PS4 Físico</t>
  </si>
  <si>
    <t>MLA15246354</t>
  </si>
  <si>
    <t>Plants vs. Zombies: Battle for Neighborville  Standard Edition Electronic Arts PS4 Físico</t>
  </si>
  <si>
    <t>MLA21212921</t>
  </si>
  <si>
    <t>Mando inalámbrico para consola de juegos - Color negro - Compatible con PS4</t>
  </si>
  <si>
    <t>MLA883071305</t>
  </si>
  <si>
    <t>Membrana Keypad Flex Botones Joystick Para Ps4 Todos Modelos</t>
  </si>
  <si>
    <t>MLA21646334</t>
  </si>
  <si>
    <t>Joystick Inalámbrico PS4 para  Sony PlayStation Dualshock 4 - Color Negro</t>
  </si>
  <si>
    <t>MLA878200436</t>
  </si>
  <si>
    <t>Repuesto Stick Analogico Control Joystick Original Para Ps4</t>
  </si>
  <si>
    <t>MLA22145213</t>
  </si>
  <si>
    <t>Joystick Ps4 Generico Inalámbrico + Cable De Carga</t>
  </si>
  <si>
    <t>MLA19687444</t>
  </si>
  <si>
    <t>Bomba presurizadora Femmto BP30L-9M 100W - 220V</t>
  </si>
  <si>
    <t>Construcción</t>
  </si>
  <si>
    <t>MLA1500</t>
  </si>
  <si>
    <t>MLA23521152</t>
  </si>
  <si>
    <t>Pintura Látex Interior Antihongos Cubritiva Polacrin 20 L</t>
  </si>
  <si>
    <t>MLA23075589</t>
  </si>
  <si>
    <t>Extractor de aire Hydra HY-VF150A 150mm blanco 6 pulgadas</t>
  </si>
  <si>
    <t>MLA8283526</t>
  </si>
  <si>
    <t>Grifo de cocina monocomando FV B1 Arizona 0411.01/B1  cromo</t>
  </si>
  <si>
    <t>MLA23508739</t>
  </si>
  <si>
    <t>Extractor De Aire Baño Cocina Color Grafito 100mm</t>
  </si>
  <si>
    <t>MLA14020709</t>
  </si>
  <si>
    <t>Bomba periférica periférica monofásica Fluvial Altura Nero 0.5hp color celeste 220V</t>
  </si>
  <si>
    <t>MLA7984961</t>
  </si>
  <si>
    <t>FV B1 Arizona 0411.02/B1 - Cromo - Cromado</t>
  </si>
  <si>
    <t>MLA19469183</t>
  </si>
  <si>
    <t>Bomba Presurizadora Centrifuga Femmto Elevadora Altura Presion 9 Metros Agua  Negro Bp30l-9m  Automatico O Manual 100w 2 Baños</t>
  </si>
  <si>
    <t>MLA18620665</t>
  </si>
  <si>
    <t xml:space="preserve"> Libercam Grifería RM-400 color plateada y acabado acero pulido</t>
  </si>
  <si>
    <t>MLA19686540</t>
  </si>
  <si>
    <t>Bomba Presurizadora Vasser Pre1 9mts 1-2 Baños Accesorios</t>
  </si>
  <si>
    <t>MLA18620667</t>
  </si>
  <si>
    <t xml:space="preserve"> Libercam Baño RGRI-07 color plateada y acabado cromado</t>
  </si>
  <si>
    <t>MLA21420410</t>
  </si>
  <si>
    <t>Ducha Cuadrada 20 X 20 Acero Inox. Flor De Baño Griferia !</t>
  </si>
  <si>
    <t>MLA912291979</t>
  </si>
  <si>
    <t>Interruptor Inteligente Wifi 433mhz Domotica Smart Demasled</t>
  </si>
  <si>
    <t>MLA919314419</t>
  </si>
  <si>
    <t>Bomba Presurizadora Agua Termotanque Calefon 2 Baños 30l/min</t>
  </si>
  <si>
    <t>MLA844127952</t>
  </si>
  <si>
    <t xml:space="preserve">Duchador De Mano Cromado + Soporte + Flexible 1,50 Metros </t>
  </si>
  <si>
    <t>MLA612385008</t>
  </si>
  <si>
    <t>Pintura Latex Interior Casablanca Pro X 20 Lts - Sagitario</t>
  </si>
  <si>
    <t>MLA20020636</t>
  </si>
  <si>
    <t>Bomba Periférica De Agua Elevadora 18 M 1/2 Hp 370w Energy</t>
  </si>
  <si>
    <t>MLA865336823</t>
  </si>
  <si>
    <t>Lija Al Agua Pack X 10 Unidades Grano 60 A 320 Sinteplast Mm</t>
  </si>
  <si>
    <t>MLA22607099</t>
  </si>
  <si>
    <t>Bomba Periférica 1/2 Hp Energy P12/25 18m</t>
  </si>
  <si>
    <t>MLA1230811683</t>
  </si>
  <si>
    <t>Timer Mecanico Reloj Programable Sica Enchufable 10a</t>
  </si>
  <si>
    <t>MLA15703578</t>
  </si>
  <si>
    <t>Tarjeta de memoria Kingston SDCS2  Canvas Select Plus con adaptador SD 64GB</t>
  </si>
  <si>
    <t>Cámaras y Accesorios</t>
  </si>
  <si>
    <t>MLA1039</t>
  </si>
  <si>
    <t>MLA15233711</t>
  </si>
  <si>
    <t>Xerox Phaser 3020/BI - Blanco/Azul - 220V - 240V</t>
  </si>
  <si>
    <t>MLA15161567</t>
  </si>
  <si>
    <t>Micrófono SF 666 condensador  omnidireccional negro</t>
  </si>
  <si>
    <t>MLA8859356</t>
  </si>
  <si>
    <t>Tarjeta de memoria SanDisk SDSQUNS-064G-GN3MA  Ultra con adaptador SD 64GB</t>
  </si>
  <si>
    <t>MLA11547168</t>
  </si>
  <si>
    <t>Tarjeta de memoria SanDisk SDSQXCY-064G-GN6MA  Extreme Pro con adaptador SD 64GB</t>
  </si>
  <si>
    <t>MLA11547167</t>
  </si>
  <si>
    <t>Tarjeta de memoria SanDisk SDSQXCD-128G-GN6MA  Extreme Pro 128GB</t>
  </si>
  <si>
    <t>MLA16212672</t>
  </si>
  <si>
    <t>Tarjeta de memoria SanDisk SDSQXA2-064G-GN6MN  Extreme 64GB</t>
  </si>
  <si>
    <t>MLA15698717</t>
  </si>
  <si>
    <t>Cámara de video Gadnic Extreme 10 4K MCDEP010 NTSC/PAL gris</t>
  </si>
  <si>
    <t>MLA17972659</t>
  </si>
  <si>
    <t xml:space="preserve"> Gadnic CK32 CAMKID1X compacta color  rosa </t>
  </si>
  <si>
    <t>MLA815795624</t>
  </si>
  <si>
    <t>Trípode Celular Camara Plegable Aluminio Telescopico 3110</t>
  </si>
  <si>
    <t>MLA14128844</t>
  </si>
  <si>
    <t>Tarjeta de memoria Lexar LSDMI128BB-633A  High-Performance 633x con adaptador SD 128GB</t>
  </si>
  <si>
    <t>MLA22935572</t>
  </si>
  <si>
    <t>Cámara Compacta De Fotos Infantil 12mpx 1080p + Memoria 32gb</t>
  </si>
  <si>
    <t>MLA22339984</t>
  </si>
  <si>
    <t xml:space="preserve"> Electroland Mini cámara X200 compacta color  rosa </t>
  </si>
  <si>
    <t>MLA904937043</t>
  </si>
  <si>
    <t>Palo Bastón Selfie Control Bluetooth Y Trípode Para Celular</t>
  </si>
  <si>
    <t>MLA1133877904</t>
  </si>
  <si>
    <t>Microscopio Lupa Aumento 60x Luz Led Y Uv Billetes Falsos</t>
  </si>
  <si>
    <t>MLA1104560283</t>
  </si>
  <si>
    <t>Microscopio  Digital Usb Portatil 1600x Zoom Hd Led Soporte</t>
  </si>
  <si>
    <t>MLA908002957</t>
  </si>
  <si>
    <t>Rollo Film Fujifilm Pack 20 Fotos Instax Mini 11 Oficial</t>
  </si>
  <si>
    <t>MLA629983603</t>
  </si>
  <si>
    <t>Monocular Wildstec 16 X 52 Original Hd Profesional Promocion</t>
  </si>
  <si>
    <t>MLA883032632</t>
  </si>
  <si>
    <t>Tripode Fotografica Iluminacion Camara Plegable 2mts Celular</t>
  </si>
  <si>
    <t>MLA1204876086</t>
  </si>
  <si>
    <t xml:space="preserve">Tripode Fotografia Video Celular Camara Plegable Aluminio </t>
  </si>
  <si>
    <t>MLA15297106</t>
  </si>
  <si>
    <t>Termo Lumilagro Luminox de acero inoxidable 1L acero</t>
  </si>
  <si>
    <t>Deportes y Fitness</t>
  </si>
  <si>
    <t>MLA1276</t>
  </si>
  <si>
    <t>MLA18535197</t>
  </si>
  <si>
    <t>Suplemento en polvo Star Nutrition  Creatine Monohydrate creatina en pote de 300g</t>
  </si>
  <si>
    <t>MLA18623215</t>
  </si>
  <si>
    <t>Suplemento en polvo Hardcore Nutrition  Creatina sabor frutilla en sachet de 1kg</t>
  </si>
  <si>
    <t>MLA14287435</t>
  </si>
  <si>
    <t>Suplemento en polvo ENA Sport  True Made proteínas sabor vanilla ice cream en pote de 930g</t>
  </si>
  <si>
    <t>MLA18907230</t>
  </si>
  <si>
    <t>Suplemento en polvo ENA Sport Creatina Micronizada 300g sabor neutro en Doypack</t>
  </si>
  <si>
    <t>MLA14287437</t>
  </si>
  <si>
    <t>Suplemento en polvo ENA Sport  True Made proteínas sabor double rich chocolate en pote de 930g</t>
  </si>
  <si>
    <t>MLA14287436</t>
  </si>
  <si>
    <t>Suplemento en polvo ENA Sport  True Made proteínas sabor cookies &amp; cream en pote de 930g</t>
  </si>
  <si>
    <t>MLA18444641</t>
  </si>
  <si>
    <t>TRB Pharma Magnesio Ultraflex Magnesio Polvo - Lata - Naranja - Unidad - 1 - 420 g</t>
  </si>
  <si>
    <t>MLA21349641</t>
  </si>
  <si>
    <t>Linterna Led Tactica Spica X4 Recargable Usb Luz Blanca Color De La Linterna Negro Color De La Luz Blanco</t>
  </si>
  <si>
    <t>MLA14178541</t>
  </si>
  <si>
    <t>Abbott Carbohidratos Ensure Advance Polvo - Lata - Vainilla - Unidad - 1 - 850 g - 850 g</t>
  </si>
  <si>
    <t>MLA19545810</t>
  </si>
  <si>
    <t>Magnesio Natier X50 Capsulas Sin Sabor</t>
  </si>
  <si>
    <t>MLA13283558</t>
  </si>
  <si>
    <t>Suplemento en polvo Star Nutrition  Creatina 100% Pura en pote de 300g</t>
  </si>
  <si>
    <t>MLA19544897</t>
  </si>
  <si>
    <t>Suplemento En Polvo Star Nutrition Whey Protein Proteínas Sabor Chocolate En Bolsa De 908g</t>
  </si>
  <si>
    <t>MLA934848082</t>
  </si>
  <si>
    <t>Zapatilla Deportiva Topper Mamba Full Negra Unisex1</t>
  </si>
  <si>
    <t>MLA1160380784</t>
  </si>
  <si>
    <t>Zapatillas Futbol 5 Botines Hombre  Niño Niñas Papi Futbol</t>
  </si>
  <si>
    <t>MLA795312113</t>
  </si>
  <si>
    <t>Medias Térmicas Sox ® Ski / Snowboard Tecnologia In-flex Frio Nieve Original</t>
  </si>
  <si>
    <t>MLA636233361</t>
  </si>
  <si>
    <t>Whey Protein 2 Lb + Creatina 300 Gr Star Nutrition</t>
  </si>
  <si>
    <t>MLA19157222</t>
  </si>
  <si>
    <t>Topper Strong Pace III Hombre Adultos</t>
  </si>
  <si>
    <t>MLA1381682096</t>
  </si>
  <si>
    <t>Mesa Picnic Plastica Portable 180cm Playa Pesca Gardenlife</t>
  </si>
  <si>
    <t>MLA19446059</t>
  </si>
  <si>
    <t>Calefactor Electrico Convector Exahome C1009 220v Blanco</t>
  </si>
  <si>
    <t>Electrodomésticos y Aires Ac.</t>
  </si>
  <si>
    <t>MLA5726</t>
  </si>
  <si>
    <t>MLA21239613</t>
  </si>
  <si>
    <t>Balanza Electronica Digital De Cocina A Pilas 1gr Hasta 10 Kg</t>
  </si>
  <si>
    <t>MLA16113594</t>
  </si>
  <si>
    <t>Licuadora Peabody PE-LN601 1.5 L negra con jarra de plástico 220V</t>
  </si>
  <si>
    <t>MLA19850022</t>
  </si>
  <si>
    <t>Balanza Alimentos Cocina Digital Hasta 10 Kg Alta Precision Color Blanco</t>
  </si>
  <si>
    <t>MLA19875977</t>
  </si>
  <si>
    <t>Dispenser De Agua Portatil Usb Bomba Dispensador Bidones</t>
  </si>
  <si>
    <t>MLA17423717</t>
  </si>
  <si>
    <t>Batidora de pie Tedge SM-1521 negra 220 V - 240 V</t>
  </si>
  <si>
    <t>MLA19479632</t>
  </si>
  <si>
    <t>Tostadora Black+decker Tr200 Blanca 220v</t>
  </si>
  <si>
    <t>MLA791696367</t>
  </si>
  <si>
    <t>Mini Licuadora Portatil Autolimpiante Usb 380ml 4 Hojas</t>
  </si>
  <si>
    <t>MLA15705811</t>
  </si>
  <si>
    <t>Moulinex Nescafé Cafetera Dolce Gusto Piccolo XS - Black - 220V</t>
  </si>
  <si>
    <t>MLA15940360</t>
  </si>
  <si>
    <t>Horno de mesa eléctrico BGH BHE17M20 16L negro 220V-240V</t>
  </si>
  <si>
    <t>MLA19446114</t>
  </si>
  <si>
    <t>Nebulizador A Piston Femmto Bc-68001 Silencioso Adulto Y Pediatrico Blanco</t>
  </si>
  <si>
    <t>MLA19742639</t>
  </si>
  <si>
    <t>Philco Pe1821npp Pava Eléctrica C/ Regulador De Temperatura</t>
  </si>
  <si>
    <t>MLA19712293</t>
  </si>
  <si>
    <t>Atma Lm8527ap Licuadora De Mano Mixer Batidora Varilla Metal</t>
  </si>
  <si>
    <t>MLA19888818</t>
  </si>
  <si>
    <t>Atma Gs2200pi Vaporizador De Prendas Plancha Vertical</t>
  </si>
  <si>
    <t>MLA17435388</t>
  </si>
  <si>
    <t>Heladera no frost Philco 94PHSB555XT plateada con freezer 555L 220V</t>
  </si>
  <si>
    <t>MLA22938752</t>
  </si>
  <si>
    <t>Pava Eléctrica Sansei Pe1821bp Selector De Temperatura 1.7l</t>
  </si>
  <si>
    <t>MLA20027461</t>
  </si>
  <si>
    <t>Pava Eléctrica Atma Peatw21wp 1.7lts Línea Nórdica</t>
  </si>
  <si>
    <t>MLA22485535</t>
  </si>
  <si>
    <t>Waflera Sandwichera Atma Disney 2 En 1 Ws027drn</t>
  </si>
  <si>
    <t>MLA1100029764</t>
  </si>
  <si>
    <t>Yogurtera Con 7 Vasos Vidrio 160 Ml Yogurt Daewoo Dym-650</t>
  </si>
  <si>
    <t>MLA18592846</t>
  </si>
  <si>
    <t>Auriculares in-ear inalámbricos A6S negro</t>
  </si>
  <si>
    <t>Electrónica, Audio y Video</t>
  </si>
  <si>
    <t>MLA1000</t>
  </si>
  <si>
    <t>MLA16220264</t>
  </si>
  <si>
    <t>Soporte Electroland SOP 14-55 de pared para TV/Monitor de 14" a 55" negro</t>
  </si>
  <si>
    <t>MLA17546621</t>
  </si>
  <si>
    <t>Shenzhen Yihaotong Technology Genérica Bluetooth F9-5 - Blanco</t>
  </si>
  <si>
    <t>MLA19835705</t>
  </si>
  <si>
    <t>Soporte Tv Led Lcd Plasma 26 30 32 40 42 46 50 55 Color Negro</t>
  </si>
  <si>
    <t>MLA19470849</t>
  </si>
  <si>
    <t>Soporte Para Tv Libercam Lc-03 Smart Movil Brazo Articulado 14 A 55 Pulgada Negro</t>
  </si>
  <si>
    <t>MLA16141858</t>
  </si>
  <si>
    <t>Pila AA Energizer MAX E91 Cilíndrica - pack de 20 unidades</t>
  </si>
  <si>
    <t>MLA18502601</t>
  </si>
  <si>
    <t>Soporte TV/Monitor Force L40-222 - Negro</t>
  </si>
  <si>
    <t>MLA21237756</t>
  </si>
  <si>
    <t>Chromecast Google Tv Hd 8gb 2gb RAM 60 Fps Wifi Bluetooth Hdmi 4ta Gen Blanco</t>
  </si>
  <si>
    <t>MLA19480442</t>
  </si>
  <si>
    <t>Auriculares in-ear inalámbricos Bluetooth F9-5 rosa</t>
  </si>
  <si>
    <t>MLA19870097</t>
  </si>
  <si>
    <t xml:space="preserve">Auriculares F95  In-ear Inalámbricos Alpina Powerbank </t>
  </si>
  <si>
    <t>MLA19469208</t>
  </si>
  <si>
    <t>Smart Tv 32¨ Philips Android Hd 32phd6917/77 + Bluetooth</t>
  </si>
  <si>
    <t>MLA20012630</t>
  </si>
  <si>
    <t>Auriculares Inalámbricos Noblex Hp350bt Bluetooth 5.0</t>
  </si>
  <si>
    <t>MLA1172498468</t>
  </si>
  <si>
    <t>Auriculares Bluetooth M10 Pro Superior F9-5 Carga Celu</t>
  </si>
  <si>
    <t>MLA1379549590</t>
  </si>
  <si>
    <t>Auricular Inalambrico Tws F9-5 Plus Fanpro Gamer Modelo 2023</t>
  </si>
  <si>
    <t>MLA6067073</t>
  </si>
  <si>
    <t>Amoladora Angular Black+Decker G720n Naranja 820 W 220 V</t>
  </si>
  <si>
    <t>Herramientas</t>
  </si>
  <si>
    <t>MLA407134</t>
  </si>
  <si>
    <t>MLA6066998</t>
  </si>
  <si>
    <t>Amoladora angular Skil Esmerilhareida Angular F0129002AL de 50 Hz/60 Hz color negro 700 W 220 V + accesorio</t>
  </si>
  <si>
    <t>MLA15733608</t>
  </si>
  <si>
    <t>Amoladora angular Philco AA711 color verde 710 W 220 V + accesorio</t>
  </si>
  <si>
    <t>MLA10066694</t>
  </si>
  <si>
    <t>Sierra circular eléctrica Skil 5402 184mm 1400W negra y roja 50Hz/60Hz 220V</t>
  </si>
  <si>
    <t>MLA15051059</t>
  </si>
  <si>
    <t>Sierra circular eléctrica Skil 5200 184mm 1200W negra y roja 50Hz/60Hz 220V</t>
  </si>
  <si>
    <t>MLA15567404</t>
  </si>
  <si>
    <t>Taladro percutor atornillador eléctrico de 13mm Gamma G1904K 710W + accesorios con maletín de transporte 220V 50Hz</t>
  </si>
  <si>
    <t>MLA19695353</t>
  </si>
  <si>
    <t>Philco Sk353 - 220V</t>
  </si>
  <si>
    <t>MLA23577605</t>
  </si>
  <si>
    <t>Engrapadora Clavadora Profesional 3 En 1 Hamilton Pepkit C/ Maletin</t>
  </si>
  <si>
    <t>MLA15805438</t>
  </si>
  <si>
    <t>Taladro percutor atornillador eléctrico de 10mm Gamma G1905K 650W + accesorios con maletín de transporte 220V 50Hz</t>
  </si>
  <si>
    <t>MLA18280080</t>
  </si>
  <si>
    <t>Hidrolavadora eléctrica Silverfox SMJPHI117 naranja y negra de 1400W con 105bar de presión máxima 220V - 50Hz</t>
  </si>
  <si>
    <t>MLA15829516</t>
  </si>
  <si>
    <t>Taladro percutor eléctrico de 10mm Gamma G1905 650W + accesorio 220V 60Hz</t>
  </si>
  <si>
    <t>MLA9300629</t>
  </si>
  <si>
    <t>Hidrolavadora eléctrica Gamma Máquinas 100 Blue Line G2508AR turquesa de 1200W con 90bar de presión máxima 220V</t>
  </si>
  <si>
    <t>MLA1432580188</t>
  </si>
  <si>
    <t>Taladro Atornillador Percutor + 2 Baterias Gp By Lusqtoff</t>
  </si>
  <si>
    <t>MLA929698613</t>
  </si>
  <si>
    <t>Set Juego De Tubos Llaves Criquet Y Puntas 46 Piezas</t>
  </si>
  <si>
    <t>MLA20543679</t>
  </si>
  <si>
    <t>Taladro Atornillador Percutor Lusqtoff Lta750 750w 3000rpm</t>
  </si>
  <si>
    <t>MLA22625842</t>
  </si>
  <si>
    <t>Discos De Corte Abrasivos 115mm X 1mm Lata X50 U. Hamilton</t>
  </si>
  <si>
    <t>MLA22844568</t>
  </si>
  <si>
    <t>Pistola De Calor Profesional 2 Temp 2000w 2 Boquillas</t>
  </si>
  <si>
    <t>MLA1128933837</t>
  </si>
  <si>
    <t>Medidor De Ph Agua Peachimetro Digital Phmetro Acuario</t>
  </si>
  <si>
    <t>MLA1465265738</t>
  </si>
  <si>
    <t>Rotomartillo Taladro Percutor 800w Sds Plus 24mm 2.5 J + Acc</t>
  </si>
  <si>
    <t>MLA16009102</t>
  </si>
  <si>
    <t>Papel higiénico Higienol MAX simple 80 m pack de 4</t>
  </si>
  <si>
    <t>Hogar, Muebles y Jardín</t>
  </si>
  <si>
    <t>MLA1574</t>
  </si>
  <si>
    <t>MLA18432235</t>
  </si>
  <si>
    <t>Grifo de cocina monocomando Libercam Rm 300  plateado acabado cromado</t>
  </si>
  <si>
    <t>MLA18635106</t>
  </si>
  <si>
    <t xml:space="preserve">Cámara de seguridad Gadnic P2P00009 SX9 con resolución de 2MP visión nocturna incluida blanca </t>
  </si>
  <si>
    <t>MLA19638753</t>
  </si>
  <si>
    <t>Jabón Líquido Para Diluir Skip Bio-enzimas Tecnologia Superior En Limpieza Y Cuidado 500 Ml</t>
  </si>
  <si>
    <t>MLA16060760</t>
  </si>
  <si>
    <t>Silla de escritorio Baires4 Ejecutiva mesh  negra con tapizado de mesh y cuero sintético</t>
  </si>
  <si>
    <t>MLA912468361</t>
  </si>
  <si>
    <t>Tira Luces Led 5050 Rgb, Kit Completo,control Y Fuente</t>
  </si>
  <si>
    <t>MLA700133917</t>
  </si>
  <si>
    <t>Juego De Cortinas Blackout Textil Presillas Ocultas Oferta!</t>
  </si>
  <si>
    <t>MLA23159642</t>
  </si>
  <si>
    <t>Reflector Led 100w Exterior Alta Potencia 96 Led Ip65 Frio Color de la carcasa Negro Color de la luz Blanco frío</t>
  </si>
  <si>
    <t>MLA16113646</t>
  </si>
  <si>
    <t>Silla de escritorio DeSillas Darwin ergonómica  negra con tapizado de mesh</t>
  </si>
  <si>
    <t>MLA21319314</t>
  </si>
  <si>
    <t>Lámpara Luz Inteligente Smart Multicolor Alexa Google Home</t>
  </si>
  <si>
    <t>MLA860876945</t>
  </si>
  <si>
    <t>Cortina De Ambiente 2,30 Ancho X 1,90 Largo Microfibra</t>
  </si>
  <si>
    <t>MLA18533622</t>
  </si>
  <si>
    <t>Sommier Simmons BackCare Hotel Bilt 2 plazas de 190cmx140cm  negro y blanco</t>
  </si>
  <si>
    <t>MLA857102339</t>
  </si>
  <si>
    <t>Balde Mopa Centrifugo Lampazo Escurridor Trapeador En Gratis</t>
  </si>
  <si>
    <t>MLA1121556829</t>
  </si>
  <si>
    <t>Kit Tira Luz Led Rgb 3m Tv Pc Control Remoto Exterior Tuning</t>
  </si>
  <si>
    <t>MLA618304618</t>
  </si>
  <si>
    <t xml:space="preserve">Tender Con Alas Plegable Tendedero Ropa Exahome </t>
  </si>
  <si>
    <t>MLA20670190</t>
  </si>
  <si>
    <t>Trapeador Mopa Rociador Spray 400ml Lusqtoff Msl400-8</t>
  </si>
  <si>
    <t>MLA1119111954</t>
  </si>
  <si>
    <t>Griferia De Cocina Canilla Monocomando Lavatorio Cuello Goma</t>
  </si>
  <si>
    <t>MLA1418706080</t>
  </si>
  <si>
    <t xml:space="preserve">Astronauta Proyector Galaxia Estrellas Lampara Luz </t>
  </si>
  <si>
    <t>MLA15469413</t>
  </si>
  <si>
    <t>Hasar L-HAS-9010 - 3V - 5V - Negro - USB (Incluye: Incluye soporte)</t>
  </si>
  <si>
    <t>Industrias y Oficinas</t>
  </si>
  <si>
    <t>MLA1499</t>
  </si>
  <si>
    <t>MLA857184813</t>
  </si>
  <si>
    <t>Pantalon Pampero Cargo De Trabajo Reforzado</t>
  </si>
  <si>
    <t>MLA19469551</t>
  </si>
  <si>
    <t>Aspiradora Atma AS9121PI 2000W 2 L - Morado/Plateado - 220V</t>
  </si>
  <si>
    <t>MLA911467079</t>
  </si>
  <si>
    <t>100 Pulseras Tyvek Lisas Sin Impresion</t>
  </si>
  <si>
    <t>MLA862812830</t>
  </si>
  <si>
    <t>Cinta De Embalar Transparente 48x100 Autoadhesiva Pack X36u</t>
  </si>
  <si>
    <t>MLA879370450</t>
  </si>
  <si>
    <t>Rollos Gofrados  Envasadora Turbosaver 2 U 22cmx5mts En Pack</t>
  </si>
  <si>
    <t>MLA847892878</t>
  </si>
  <si>
    <t>Kit Oficial Para Código Qr De Mercado Pago</t>
  </si>
  <si>
    <t>MLA630939776</t>
  </si>
  <si>
    <t>Contadora De Billetes Máquina Cuenta Dinero Detector Falsos</t>
  </si>
  <si>
    <t>MLA1366541832</t>
  </si>
  <si>
    <t>Pantalón Pampero Cargo Ripstop Antidesgarro - Uso Intensivo</t>
  </si>
  <si>
    <t>MLA1310539380</t>
  </si>
  <si>
    <t>Botines De Seguridad 249 Ice Pampero Con Puntera De Acero</t>
  </si>
  <si>
    <t>MLA1361556647</t>
  </si>
  <si>
    <t>Zapato Seguridad Grafa 70 Con Puntera De Acero Botín Calzado</t>
  </si>
  <si>
    <t>MLA853619214</t>
  </si>
  <si>
    <t>Vinilo Termotransferible Textil Duracal 1.00x0.50  (polgraf)</t>
  </si>
  <si>
    <t>MLA903234622</t>
  </si>
  <si>
    <t>Mercado Pago Point Smart Chip 4gb Celular + Impresora Posnet</t>
  </si>
  <si>
    <t>MLA1375948496</t>
  </si>
  <si>
    <t>Mini Balanza Portatil Pocket Scale Digital 0.1 A 200gramos</t>
  </si>
  <si>
    <t>MLA1132594858</t>
  </si>
  <si>
    <t>Rollo De Plastico Con Burbuja Pluribol De 50 Cm X 50 Mts</t>
  </si>
  <si>
    <t>MLA1125132128</t>
  </si>
  <si>
    <t>Argolla Sin Fin + Cadena X 100 Unidades Art 4110</t>
  </si>
  <si>
    <t>MLA1166099500</t>
  </si>
  <si>
    <t xml:space="preserve">Contadora De Billetes Maquina Contar Daewoo Pesos Dólares  </t>
  </si>
  <si>
    <t>MLA862809222</t>
  </si>
  <si>
    <t xml:space="preserve">Cinta De Embalaje Transparente48x100 Autoadhesiva Pack X 6u </t>
  </si>
  <si>
    <t>MLA1379623167</t>
  </si>
  <si>
    <t>Perchero Movil Doble Barral Metalico Exhibidor 150x110 !!</t>
  </si>
  <si>
    <t>MLA21690292</t>
  </si>
  <si>
    <t>Encordado Ernie Ball 010 Guitarra Eléctrica 2221 Slinky Cuer</t>
  </si>
  <si>
    <t>Instrumentos Musicales</t>
  </si>
  <si>
    <t>MLA1182</t>
  </si>
  <si>
    <t>MLA698172847</t>
  </si>
  <si>
    <t>Soporte Para Micrófono Brazo Estudio Condenser Profesional</t>
  </si>
  <si>
    <t>MLA16930069</t>
  </si>
  <si>
    <t>Micrófonos SKP Pro Audio UHF-300D dinámico, de mano  cardiode negros</t>
  </si>
  <si>
    <t>MLA22432100</t>
  </si>
  <si>
    <t>Cable Canon Canon Xlr /xlr  Ross - 6 Metros</t>
  </si>
  <si>
    <t>MLA793205564</t>
  </si>
  <si>
    <t>Ukelele De Madera Soprano Con Funda Manual Y Lecciones</t>
  </si>
  <si>
    <t>MLA21522883</t>
  </si>
  <si>
    <t>Cable Ross Plug Plug 6 Metros Cp-pp-6m Guitarra</t>
  </si>
  <si>
    <t>MLA18302793</t>
  </si>
  <si>
    <t>Shure SV200-W - Negro</t>
  </si>
  <si>
    <t>MLA18706642</t>
  </si>
  <si>
    <t>Teclado Organo Electronico Musical Instrumento 54 Teclas Color Gris</t>
  </si>
  <si>
    <t>MLA21674231</t>
  </si>
  <si>
    <t xml:space="preserve">Encordado Cuerdas Guitarra Criolla Clásica Magma  </t>
  </si>
  <si>
    <t>MLA681242961</t>
  </si>
  <si>
    <t>Ukelele Soprano Alabama Uks-10 Colores Con Funda  - Oddity</t>
  </si>
  <si>
    <t>MLA625837232</t>
  </si>
  <si>
    <t>Guitarra Electrocriolla C/ Corte Acustica Funda Pua Colores</t>
  </si>
  <si>
    <t>MLA1114715322</t>
  </si>
  <si>
    <t>Palillos Batería Baquetas Sambys Std 5a 5b Punta Madera</t>
  </si>
  <si>
    <t>MLA22276983</t>
  </si>
  <si>
    <t xml:space="preserve">Controlador Midi Usb Arturia Minilab 3 </t>
  </si>
  <si>
    <t>MLA22762718</t>
  </si>
  <si>
    <t>Teclado Organo 5 Octavas Adultos Niños Musical Piano Teclas</t>
  </si>
  <si>
    <t>MLA869682838</t>
  </si>
  <si>
    <t>Funda Para Guitarra Criolla Clasica Acolchada Impermeable</t>
  </si>
  <si>
    <t>MLA731227277</t>
  </si>
  <si>
    <t>Atril Partitura Plegable Con Funda.</t>
  </si>
  <si>
    <t>MLA900057263</t>
  </si>
  <si>
    <t>Soporte Pared Guitarra Electrica Criolla Bajo C/ Tarugo 10mm</t>
  </si>
  <si>
    <t>MLA785714880</t>
  </si>
  <si>
    <t>Cuerdas Guitarra Criolla Campana Encordado Nylon Plata</t>
  </si>
  <si>
    <t>MLA776907207</t>
  </si>
  <si>
    <t>Capotraste Capodastro Transporte Resistente Excelente Calidad Ideal Para Ukelele Y Todo Tipo De Guitarras</t>
  </si>
  <si>
    <t>MLA17369380</t>
  </si>
  <si>
    <t xml:space="preserve">Reloj pulsera Casio Vintage A-158 de cuerpo color plateado, digital, fondo gris, con correa de acero inoxidable color plateado, dial negro, minutero/segundero negro, bisel color plateado, luz verde y </t>
  </si>
  <si>
    <t>Joyas y Relojes</t>
  </si>
  <si>
    <t>MLA3937</t>
  </si>
  <si>
    <t>MLA17232987</t>
  </si>
  <si>
    <t>Smartwatch Amazfit Bands Band 5 Sport 1.1" caja 47.2mm de  policarbonato  negra, malla  midnight black de  tpu y bisel  negro de  plástico A2005</t>
  </si>
  <si>
    <t>MLA871060556</t>
  </si>
  <si>
    <t xml:space="preserve">Reloj De Pared Moderno Minimalista Grande Clásico Quartz </t>
  </si>
  <si>
    <t>MLA905089271</t>
  </si>
  <si>
    <t>Reloj Despertador Luz Led Rgb Pantalla Alarma Temperatura</t>
  </si>
  <si>
    <t>MLA929984758</t>
  </si>
  <si>
    <t>Aros Hombre Aritos Piercing Argollas Acero Quirúrgico Dorado</t>
  </si>
  <si>
    <t>MLA1145291076</t>
  </si>
  <si>
    <t>Reloj Pulsera Táctil Digital Led Silicona Para Niños Y Niñas</t>
  </si>
  <si>
    <t>MLA18444793</t>
  </si>
  <si>
    <t>Skmei 1068 Hombre (Cód: 18444793)</t>
  </si>
  <si>
    <t>MLA1129405717</t>
  </si>
  <si>
    <t>Reloj Vintage Digital Luz Alarma Malla Acero Estuche Garant.</t>
  </si>
  <si>
    <t>MLA19534806</t>
  </si>
  <si>
    <t>Reloj pulsera Gadnic Apolo de cuerpo color negro, digital, fondo negro, con correa de goma color negro, dial gris, minutero/segundero gris, bisel color negro, luz verde y hebilla simple</t>
  </si>
  <si>
    <t>MLA1221340476</t>
  </si>
  <si>
    <t>Reloj Pulsera Led Digital Para Nene Nena Band Infantil</t>
  </si>
  <si>
    <t>MLA1100363805</t>
  </si>
  <si>
    <t xml:space="preserve">Malla Para Apple Watch  38 40 Mm Serie 1 2 3 4 5 6 </t>
  </si>
  <si>
    <t>MLA1148313773</t>
  </si>
  <si>
    <t>Collar Yin Yang Gatitos Perro Para Compartir Parejas Amistad</t>
  </si>
  <si>
    <t>MLA1327735473</t>
  </si>
  <si>
    <t>Malla Xiaomi Mi Band 3 4 5 6 Y 7 Nylon Correa Deportiva</t>
  </si>
  <si>
    <t>MLA1100373070</t>
  </si>
  <si>
    <t xml:space="preserve"> Malla Correa Para Apple Watch  42 44 Mm Serie 1 2 3 4 5 6</t>
  </si>
  <si>
    <t>MLA1283575546</t>
  </si>
  <si>
    <t>Reloj Led Touch Unisex Malla Silicona Autoajustable Garantía</t>
  </si>
  <si>
    <t>MLA1281956611</t>
  </si>
  <si>
    <t>Collar Cielo Nubes Brilla En La Oscuridad + Estuche Regalo</t>
  </si>
  <si>
    <t>MLA1108316534</t>
  </si>
  <si>
    <t>Colgante Yo Te Cielo</t>
  </si>
  <si>
    <t>MLA1146520194</t>
  </si>
  <si>
    <t>Reloj Despertador Digital Alarma Temperatura Luz Lcd Fecha</t>
  </si>
  <si>
    <t>MLA915249566</t>
  </si>
  <si>
    <t>Tira Fimo Fimu Multicolor Separador Plano 6mm Bijou Collares</t>
  </si>
  <si>
    <t>MLA1444338936</t>
  </si>
  <si>
    <t>Malla Reemplazo Correa Para Samsung Fit 2 Pulsera Silicona</t>
  </si>
  <si>
    <t>MLA6831186</t>
  </si>
  <si>
    <t>Juego de mesa Monky loco Ditoys 071</t>
  </si>
  <si>
    <t>Juegos y Juguetes</t>
  </si>
  <si>
    <t>MLA1132</t>
  </si>
  <si>
    <t>MLA13295273</t>
  </si>
  <si>
    <t>Ditoys Doggy attack 2149</t>
  </si>
  <si>
    <t>MLA6829078</t>
  </si>
  <si>
    <t>Juego de mesa Rummy &amp; Burako Clásico Ruibal 1056</t>
  </si>
  <si>
    <t>MLA13295274</t>
  </si>
  <si>
    <t>Juego de mesa Croky attack Ditoys 2150</t>
  </si>
  <si>
    <t>MLA8872770</t>
  </si>
  <si>
    <t>Juego de mesa Monopoly Clásico Hasbro C1009</t>
  </si>
  <si>
    <t>MLA17840062</t>
  </si>
  <si>
    <t>Juego de cartas Desconectados En Palabras</t>
  </si>
  <si>
    <t>MLA16079564</t>
  </si>
  <si>
    <t>Juego de cartas Dables</t>
  </si>
  <si>
    <t>MLA23627470</t>
  </si>
  <si>
    <t>Valija De Juguete Juliana Veterinaria Grande 2 Mascotas</t>
  </si>
  <si>
    <t>MLA23441256</t>
  </si>
  <si>
    <t>Valija De Juguete Juliana Doctora 18 Accesorios</t>
  </si>
  <si>
    <t>MLA23532730</t>
  </si>
  <si>
    <t>Juliana Valija Doctora Grande Luz Y Sonido Do13 Tv</t>
  </si>
  <si>
    <t>MLA23441273</t>
  </si>
  <si>
    <t>Juliana Veterinaria Valija Chica Con Mascota Nenas Tv Edu Fu</t>
  </si>
  <si>
    <t>MLA849139953</t>
  </si>
  <si>
    <t>Cubo Rubik 3x3 Moyu Meilong 3x3x3 De Velocidad</t>
  </si>
  <si>
    <t>MLA1164207235</t>
  </si>
  <si>
    <t>Monopatín Aluminio Plegable 2 Ruedas Con Luces</t>
  </si>
  <si>
    <t>MLA764928019</t>
  </si>
  <si>
    <t>Pizarra Magica Tableta Lcd Escritura Digital Ewrite Ohmyshop</t>
  </si>
  <si>
    <t>MLA843856471</t>
  </si>
  <si>
    <t>Set De Cocina Y Accesorios Piccola Rondi</t>
  </si>
  <si>
    <t>MLA580016017</t>
  </si>
  <si>
    <t>Cocinita De Juguete Cocina De Madera Infantil Juego Chicos</t>
  </si>
  <si>
    <t>MLA1370905121</t>
  </si>
  <si>
    <t>Peluche Charizard 22cm Pokemon Varios Modelos Anime Pikachu</t>
  </si>
  <si>
    <t>MLA19691378</t>
  </si>
  <si>
    <t>Este dolor no es mío: Identifica y resuelve los traumas familiares heredados, de Mark Wolynn.</t>
  </si>
  <si>
    <t>Libros, Revistas y Comics</t>
  </si>
  <si>
    <t>MLA3025</t>
  </si>
  <si>
    <t>MLA19801027</t>
  </si>
  <si>
    <t>Libro Hábitos Atómicos - James Clear</t>
  </si>
  <si>
    <t>MLA19921600</t>
  </si>
  <si>
    <t xml:space="preserve"> Libro Piense Y Hagase Rico Napoleon Hill Ultima Edición !!!</t>
  </si>
  <si>
    <t>MLA22073890</t>
  </si>
  <si>
    <t>Libro Basta De Amores De Mierda - El Pela Gonzalo Romero</t>
  </si>
  <si>
    <t>MLA19908574</t>
  </si>
  <si>
    <t>Libro Un Cuento Perfecto - Elísabet Benavent</t>
  </si>
  <si>
    <t>MLA21937914</t>
  </si>
  <si>
    <t>Libro Hábitos Atómicos - James Clear - Booket</t>
  </si>
  <si>
    <t>MLA22134381</t>
  </si>
  <si>
    <t>Código Civil Y Comercial De La Nacion 2023 Universitario</t>
  </si>
  <si>
    <t>MLA22047794</t>
  </si>
  <si>
    <t>Camino Del Artista - Julia Cameron - Aguilar</t>
  </si>
  <si>
    <t>MLA19798614</t>
  </si>
  <si>
    <t>La Revolución De La Glucosa De Jessie Inchauspé - Diana</t>
  </si>
  <si>
    <t>MLA21937919</t>
  </si>
  <si>
    <t>Libro Adiós Cachorra - Lucía Numer - Planeta</t>
  </si>
  <si>
    <t>MLA21937918</t>
  </si>
  <si>
    <t>Libro El Duelo - Gabriel Rolón - Booket</t>
  </si>
  <si>
    <t>MLA22634778</t>
  </si>
  <si>
    <t>Código Penal + Procesal Penal De La Nación Y Federal - Univ</t>
  </si>
  <si>
    <t>MLA21500488</t>
  </si>
  <si>
    <t>Si Lo Crees, Lo Creas: Elimina Tus Dudas, Cambia Tus Creenci</t>
  </si>
  <si>
    <t>MLA1223553630</t>
  </si>
  <si>
    <t>Berserk - Elige Tu Tomo - Panini</t>
  </si>
  <si>
    <t>MLA22134585</t>
  </si>
  <si>
    <t>Dolarizacion, De Ocampo, Emilio., Vol. Único. Editorial Claridad, Tapa Blanda En Español, 2022</t>
  </si>
  <si>
    <t>MLA926591697</t>
  </si>
  <si>
    <t>Biblia Reina Valera 1960 Letra Gigante Cierre Pjr Conc Negro</t>
  </si>
  <si>
    <t>MLA1423030322</t>
  </si>
  <si>
    <t>Pack Basta De Amores De Mierda 1 2 3 4 Y 5 - Pela G. Romero</t>
  </si>
  <si>
    <t>MLA1141971247</t>
  </si>
  <si>
    <t xml:space="preserve">Encuentra Tu Persona + Como Hacer Que Te Pasen Cosas Buenas </t>
  </si>
  <si>
    <t>MLA20953806</t>
  </si>
  <si>
    <t>Libro Simple Y Consciente - Silvina Luna - Vergara</t>
  </si>
  <si>
    <t>MLA22003111</t>
  </si>
  <si>
    <t>El Método Silva De Control Mental - José Silva, Philip Miele</t>
  </si>
  <si>
    <t>MLA22854894</t>
  </si>
  <si>
    <t>Taylor Swift Reputation Cd</t>
  </si>
  <si>
    <t>Música, Películas y Series</t>
  </si>
  <si>
    <t>MLA1168</t>
  </si>
  <si>
    <t>MLA22487174</t>
  </si>
  <si>
    <t>Vinilo - Clics Modernos - Charly Garcia</t>
  </si>
  <si>
    <t>MLA22739493</t>
  </si>
  <si>
    <t>Lali Espósito Lali Sony Music - Físico - CD - 2023</t>
  </si>
  <si>
    <t>MLA22617989</t>
  </si>
  <si>
    <t>Charly Garcia Piano Bar Vinilo Lp Reedicion 2020</t>
  </si>
  <si>
    <t>MLA22828318</t>
  </si>
  <si>
    <t>Taylor Swift - Midnights Lavender (cd Deluxe) Universal</t>
  </si>
  <si>
    <t>MLA1371963783</t>
  </si>
  <si>
    <t>Stray Kids 5 Star Cd + Libro Nuevo Importado</t>
  </si>
  <si>
    <t>MLA1107122526</t>
  </si>
  <si>
    <t xml:space="preserve">Bolsas Fundas Externas Para Discos De Vinilo X 50 Unidades </t>
  </si>
  <si>
    <t>MLA875420044</t>
  </si>
  <si>
    <t>Taylor Swift Folklore Cd + Bonus Nuevo Original Cerrado</t>
  </si>
  <si>
    <t>MLA1156322414</t>
  </si>
  <si>
    <t>Twice Between 1 &amp; 2 Cd + Libro Nuevo Importado</t>
  </si>
  <si>
    <t>MLA1111600991</t>
  </si>
  <si>
    <t>Twice Formula Of Love Cd + Libro Nuevo Importado</t>
  </si>
  <si>
    <t>MLA22725394</t>
  </si>
  <si>
    <t>Vinilo Charly Garcia Parte De La Religion Sellado</t>
  </si>
  <si>
    <t>MLA903827738</t>
  </si>
  <si>
    <t xml:space="preserve">Taylor Swift Evermore Cd 2020 Nuevo Original Cerrado </t>
  </si>
  <si>
    <t>MLA607695886</t>
  </si>
  <si>
    <t>Vinilo Soda Stereo Cancion Animal Lp Nuevo Remast.2015</t>
  </si>
  <si>
    <t>MLA660762989</t>
  </si>
  <si>
    <t>Vinilo Cerati Gustavo Amor Amarillo 2 Lp Nuevo</t>
  </si>
  <si>
    <t>MLA22791661</t>
  </si>
  <si>
    <t>Olivia Rodrigo Sour Deluxe Cd 2021 + Poster</t>
  </si>
  <si>
    <t>MLA22493894</t>
  </si>
  <si>
    <t>Gustavo Cerati 14 Episodios Siónicos Vinilo Doble</t>
  </si>
  <si>
    <t>MLA1148002031</t>
  </si>
  <si>
    <t>Vinilos De Coleccion La Nacion Lp + Libro  - Ver Variantes</t>
  </si>
  <si>
    <t>MLA1379469313</t>
  </si>
  <si>
    <t>Newjeans Get Up Bunny Beach Version Cd + Libro + Bolso Impor</t>
  </si>
  <si>
    <t>MLA1379505549</t>
  </si>
  <si>
    <t xml:space="preserve">Newjeans Get Up Powerpuff Girls Nj Box Ver Cd + Libro Nuevo </t>
  </si>
  <si>
    <t>MLA1467350410</t>
  </si>
  <si>
    <t>Queen Vinilos De Coleccion 3lp N° 19 Live At Wembley Stadium</t>
  </si>
  <si>
    <t>MLA19956502</t>
  </si>
  <si>
    <t>Gel Intimo Prime Touch X 200ml | Lubricante Y Masajes 2 En 1 Sabor Sin Sabor</t>
  </si>
  <si>
    <t>Otras categorías</t>
  </si>
  <si>
    <t>MLA1953</t>
  </si>
  <si>
    <t>MLA19971436</t>
  </si>
  <si>
    <t>Gel Intimo Anal Efecto Relajante Lubricante Lube Sex</t>
  </si>
  <si>
    <t>MLA19990711</t>
  </si>
  <si>
    <t>Lubricante Intimo Neutro Fly Night 200 Ml</t>
  </si>
  <si>
    <t>MLA19940435</t>
  </si>
  <si>
    <t>Gel Lubricante Intimo Neutro Miss V Hipoalergenico Todo Tipo Sabor Sin Sabor</t>
  </si>
  <si>
    <t>MLA19971430</t>
  </si>
  <si>
    <t>Lubricante gel crema intimo Fly Night Vanal 200mL</t>
  </si>
  <si>
    <t>MLA19940438</t>
  </si>
  <si>
    <t xml:space="preserve">Lubricante Sextual 200 Ml Geles Intimos </t>
  </si>
  <si>
    <t>MLA868578880</t>
  </si>
  <si>
    <t>Sahumerios Triple Empastes X Bolsa De 50 Sahum..</t>
  </si>
  <si>
    <t>MLA853964200</t>
  </si>
  <si>
    <t>Sahumerios Conos Cascadas, 1 Pack X 100 Unidades</t>
  </si>
  <si>
    <t>MLA20003006</t>
  </si>
  <si>
    <t>Gel Intimo Anal Efecto Calor Lubricante Lube Sex</t>
  </si>
  <si>
    <t>MLA19990707</t>
  </si>
  <si>
    <t>Gel intimo lubricante Diabolico anal extremadamente deslizante Fly Night 500g</t>
  </si>
  <si>
    <t>MLA850751996</t>
  </si>
  <si>
    <t>Sahumerios Satya Nag Champa - 12 Unidades</t>
  </si>
  <si>
    <t>MLA1309407118</t>
  </si>
  <si>
    <t>Sahumerios 40 Tibetanos Aromanza India 5 Aromas Diferentes</t>
  </si>
  <si>
    <t>MLA20993917</t>
  </si>
  <si>
    <t>Lubricante gel crema anal Sexitive the wild boys con calendula 200g</t>
  </si>
  <si>
    <t>MLA1107009569</t>
  </si>
  <si>
    <t>Pigmento Extreme P/tatuar 1oz - Tinta Para Tattoo Tatuajes</t>
  </si>
  <si>
    <t>MLA1425622280</t>
  </si>
  <si>
    <t>Crema Tattoo Sin Dolor La Más Buscada !</t>
  </si>
  <si>
    <t>MLA1124159987</t>
  </si>
  <si>
    <t xml:space="preserve">Cartas Mazo Tarot Rider Waite + Guía </t>
  </si>
  <si>
    <t>MLA1137002410</t>
  </si>
  <si>
    <t>Sahumerios Sagrada Madre Combo Mix Linea Completa X18 Anaand</t>
  </si>
  <si>
    <t>MLA899045315</t>
  </si>
  <si>
    <t>Línea Completa Sahumerios Sagrada Madre 12 Aromas</t>
  </si>
  <si>
    <t>MLA1401627808</t>
  </si>
  <si>
    <t>Sahumerios Extra Fuerte Aromanza Slim Pack X6 Unidades</t>
  </si>
  <si>
    <t>MLA1375881833</t>
  </si>
  <si>
    <t>Tktx Crema Negro Original</t>
  </si>
  <si>
    <t>MLA619208970</t>
  </si>
  <si>
    <t>Remera Lisa Algodón Jersey Peinado Premium</t>
  </si>
  <si>
    <t>Ropa y Accesorios</t>
  </si>
  <si>
    <t>MLA1430</t>
  </si>
  <si>
    <t>MLA851120815</t>
  </si>
  <si>
    <t xml:space="preserve">Ambo Medico De Mujer Entallado Promoción! - Presente! </t>
  </si>
  <si>
    <t>MLA911412538</t>
  </si>
  <si>
    <t>Zapatillas Elastizadas Super Livianas Fabricante Directo</t>
  </si>
  <si>
    <t>MLA877040991</t>
  </si>
  <si>
    <t>Remera Lisa Algodon 100 % Varios Colores Unisex Fabricantes!</t>
  </si>
  <si>
    <t>MLA1110822890</t>
  </si>
  <si>
    <t>Pantalones Hombre Cargo Bolsillos Casuales Jogger Alpina</t>
  </si>
  <si>
    <t>MLA1149398008</t>
  </si>
  <si>
    <t>Pack X 5 Remera Basica Hombre Manga Corta Lisa 100% Algodon</t>
  </si>
  <si>
    <t>MLA845275688</t>
  </si>
  <si>
    <t>Crocs Originales Crocband Unisex Hombre Mujer - Local Olivos</t>
  </si>
  <si>
    <t>MLA1379543968</t>
  </si>
  <si>
    <t>Zapatillas De Mujer Livianas Comodas Moda Nadin</t>
  </si>
  <si>
    <t>MLA1146475522</t>
  </si>
  <si>
    <t xml:space="preserve">Zapato Hombre De Vestir Mocasin Nautico Urbano Zapatilla </t>
  </si>
  <si>
    <t>MLA1371125744</t>
  </si>
  <si>
    <t>Pantalon Jogger Cargo Hombre Gabardina Elastizada Bolsillos</t>
  </si>
  <si>
    <t>MLA911111642</t>
  </si>
  <si>
    <t xml:space="preserve">Zapatillas Moda Mujer Urbana Plataforma  </t>
  </si>
  <si>
    <t>MLA886247092</t>
  </si>
  <si>
    <t>Botas Ozono Trekking</t>
  </si>
  <si>
    <t>MLA1265774576</t>
  </si>
  <si>
    <t>Zapatillas Blancas Hombre Mujer Urbana Anatomica Irak Comoda</t>
  </si>
  <si>
    <t>MLA1235791119</t>
  </si>
  <si>
    <t>Musculosa Capucha Entrenamiento Sudadera Gym Gdo Workout</t>
  </si>
  <si>
    <t>MLA815050458</t>
  </si>
  <si>
    <t>Boxer Zorba Art.130, Algodón - Pack X12 U - Directo Fabrica</t>
  </si>
  <si>
    <t>MLA1138419137</t>
  </si>
  <si>
    <t>Boxer  Didar Art 128, Algodón-pack X12 U- Directo Fábrica</t>
  </si>
  <si>
    <t>MLA1396606660</t>
  </si>
  <si>
    <t>Zapatillas Mujer Base Comoda Liviana Diseño Love</t>
  </si>
  <si>
    <t>MLA926488501</t>
  </si>
  <si>
    <t>Zapatilla Hombre Urbana Livanas Art. 1073</t>
  </si>
  <si>
    <t>MLA820367649</t>
  </si>
  <si>
    <t>Pantalones Cargo Hombre Gabardina Bolsillos Jogger Jogging</t>
  </si>
  <si>
    <t>MLA18948053</t>
  </si>
  <si>
    <t>TRB Pharma Colágeno Ultraflex Polvo - Pote - Limón - Pack - 2 - 300 g</t>
  </si>
  <si>
    <t>Salud y Equipamiento Médico</t>
  </si>
  <si>
    <t>MLA409431</t>
  </si>
  <si>
    <t>MLA15503957</t>
  </si>
  <si>
    <t>Balanza digital Femmto B01 negra, hasta 180 kg</t>
  </si>
  <si>
    <t>MLA19441502</t>
  </si>
  <si>
    <t>Tensiometro Digital De Brazo Femmto Yk-bpa3 Medidor De Presion  Blanco</t>
  </si>
  <si>
    <t>MLA18212679</t>
  </si>
  <si>
    <t>Suplemento Dietario Ensure Polvo Vainilla x1200gr</t>
  </si>
  <si>
    <t>MLA18614897</t>
  </si>
  <si>
    <t>Suplemento en polvo Vitalis Navitas  Colágeno Hidrolizado sabor limón en pote de 360g</t>
  </si>
  <si>
    <t>MLA18613671</t>
  </si>
  <si>
    <t>Natural Whey Suplementos Magnesio Citrato de Magnesio Polvo - Sachet - Unidad - 1 - 1 kg</t>
  </si>
  <si>
    <t>MLA22021805</t>
  </si>
  <si>
    <t>Tensiómetro Digital Brazo Bluetooth Batería Automático Femmto Medidor De Presión Arterial YK-BPA4 USB</t>
  </si>
  <si>
    <t>MLA19147005</t>
  </si>
  <si>
    <t>Balanza Corporal Para Personas Femmto B04 Bluetooth Digital Negro</t>
  </si>
  <si>
    <t>MLA1108957511</t>
  </si>
  <si>
    <t xml:space="preserve">Tensiometro Manual Aneroide Con Estetoscopio Enfermería Kit </t>
  </si>
  <si>
    <t>MLA1119496660</t>
  </si>
  <si>
    <t xml:space="preserve">Caja Guantes Nitrilo Negro Reforzado Con Anmat X 100 </t>
  </si>
  <si>
    <t>MLA872176455</t>
  </si>
  <si>
    <t xml:space="preserve">3 Proteina Whey Protein 100% (1080 Gr C/u) Spx +vaso Shaker </t>
  </si>
  <si>
    <t>MLA1180622302</t>
  </si>
  <si>
    <t>Whey Protein 2 Kg + Creatina Spx 300 Gr Saborizada</t>
  </si>
  <si>
    <t>MLA796378799</t>
  </si>
  <si>
    <t>Set 14 Globos Metalizados Estrella Transparente Confetti</t>
  </si>
  <si>
    <t>Souvenirs, Cotillón y Fiestas</t>
  </si>
  <si>
    <t>MLA9304</t>
  </si>
  <si>
    <t>MLA800268665</t>
  </si>
  <si>
    <t>Golosinas Para Piñata X 100 U - Lollipop</t>
  </si>
  <si>
    <t>MLA622222212</t>
  </si>
  <si>
    <t>Combo Cotillon Luminoso Led Neon 100 Personas + Labial Fluo</t>
  </si>
  <si>
    <t>MLA635870846</t>
  </si>
  <si>
    <t>Pulseras Luminosas Quimicas Neon Fiesta Cotillon Rompecocos</t>
  </si>
  <si>
    <t>MLA850912783</t>
  </si>
  <si>
    <t>Globos Perlados 12 Pulgadas X25 Unidades Cotillon Cumpleaños</t>
  </si>
  <si>
    <t>MLA851153593</t>
  </si>
  <si>
    <t>Cortina Metalizada Varios Colores 1x2 Mt Cotillon</t>
  </si>
  <si>
    <t>MLA1128830174</t>
  </si>
  <si>
    <t>Bengala De Humo X1 - Cienfuegos</t>
  </si>
  <si>
    <t>MLA1425400552</t>
  </si>
  <si>
    <t>Set De 14 Globos Metalizados Estrella Corazon Confetti Latex</t>
  </si>
  <si>
    <t>MLA1370977661</t>
  </si>
  <si>
    <t>Cortinas Metalizadas Decoración 1 Metro X 2 Metros</t>
  </si>
  <si>
    <t>MLA1154231259</t>
  </si>
  <si>
    <t>25 Globo Latex Liso Cotillon Candy Bar Cumpleaños Decoracion</t>
  </si>
  <si>
    <t>MLA1363852129</t>
  </si>
  <si>
    <t>Banderines X 20 Mt Tela Friselina De 80 Gr Elegí Tus Colores</t>
  </si>
  <si>
    <t>MLA1104595285</t>
  </si>
  <si>
    <t>Disfraz Hombre Araña Con Mascara Spiderman Manga Larga</t>
  </si>
  <si>
    <t>MLA1145516374</t>
  </si>
  <si>
    <t>Inflador De Globos Electrico Black Doble Salida 600w</t>
  </si>
  <si>
    <t>MLA1370888909</t>
  </si>
  <si>
    <t>Combo De Globos Cumpleaños Súper Completo Decoración Números</t>
  </si>
  <si>
    <t>MLA912369734</t>
  </si>
  <si>
    <t>Combo Cotillon Carioca Fluor 115 Articulos 50 Personas</t>
  </si>
  <si>
    <t>MLA1120223774</t>
  </si>
  <si>
    <t>Laminas Comestibles Fototorta Impresiones Personalizadas A4</t>
  </si>
  <si>
    <t>MLA1145260244</t>
  </si>
  <si>
    <t xml:space="preserve">30 Burbujeros Molino Souvenir Piñata Sorpresa </t>
  </si>
  <si>
    <t>MLA1370889227</t>
  </si>
  <si>
    <t>Base Soporte Con 7 Varillas Porta Globo Mesa Cotillón Cumple</t>
  </si>
  <si>
    <t>MLA1157509916</t>
  </si>
  <si>
    <t>Kit Cumple + Candy Imprimible Editable Unificado</t>
  </si>
  <si>
    <t>MLA1361239847</t>
  </si>
  <si>
    <t>Video Invitación Animada (con Foto Opcional) Tarjeta Virtual</t>
  </si>
  <si>
    <t>creation_time</t>
  </si>
  <si>
    <t>Tablas y manipulación de los datos para respuesta de las consignas:</t>
  </si>
  <si>
    <t>Categoría</t>
  </si>
  <si>
    <t>Cantidad vendida total</t>
  </si>
  <si>
    <t>Otros</t>
  </si>
  <si>
    <t>Cantidad vendida</t>
  </si>
  <si>
    <t>Productos vendidos</t>
  </si>
  <si>
    <t>00:01</t>
  </si>
  <si>
    <t>00:07</t>
  </si>
  <si>
    <t>00:15</t>
  </si>
  <si>
    <t>00:35</t>
  </si>
  <si>
    <t>00:41</t>
  </si>
  <si>
    <t>00:43</t>
  </si>
  <si>
    <t>00:48</t>
  </si>
  <si>
    <t>00:49</t>
  </si>
  <si>
    <t>01:00</t>
  </si>
  <si>
    <t>01:01</t>
  </si>
  <si>
    <t>01:18</t>
  </si>
  <si>
    <t>01:24</t>
  </si>
  <si>
    <t>02:06</t>
  </si>
  <si>
    <t>02:21</t>
  </si>
  <si>
    <t>02:28</t>
  </si>
  <si>
    <t>02:32</t>
  </si>
  <si>
    <t>02:51</t>
  </si>
  <si>
    <t>04:13</t>
  </si>
  <si>
    <t>04:34</t>
  </si>
  <si>
    <t>07:55</t>
  </si>
  <si>
    <t>08:05</t>
  </si>
  <si>
    <t>08:07</t>
  </si>
  <si>
    <t>08:13</t>
  </si>
  <si>
    <t>08:23</t>
  </si>
  <si>
    <t>08:29</t>
  </si>
  <si>
    <t>08:36</t>
  </si>
  <si>
    <t>08:37</t>
  </si>
  <si>
    <t>08:38</t>
  </si>
  <si>
    <t>08:59</t>
  </si>
  <si>
    <t>09:04</t>
  </si>
  <si>
    <t>09:08</t>
  </si>
  <si>
    <t>09:09</t>
  </si>
  <si>
    <t>09:17</t>
  </si>
  <si>
    <t>09:22</t>
  </si>
  <si>
    <t>09:23</t>
  </si>
  <si>
    <t>09:25</t>
  </si>
  <si>
    <t>09:26</t>
  </si>
  <si>
    <t>09:27</t>
  </si>
  <si>
    <t>09:28</t>
  </si>
  <si>
    <t>09:31</t>
  </si>
  <si>
    <t>09:39</t>
  </si>
  <si>
    <t>09:40</t>
  </si>
  <si>
    <t>09:46</t>
  </si>
  <si>
    <t>09:49</t>
  </si>
  <si>
    <t>09:50</t>
  </si>
  <si>
    <t>09:52</t>
  </si>
  <si>
    <t>09:54</t>
  </si>
  <si>
    <t>10:00</t>
  </si>
  <si>
    <t>10:01</t>
  </si>
  <si>
    <t>10:02</t>
  </si>
  <si>
    <t>10:03</t>
  </si>
  <si>
    <t>10:10</t>
  </si>
  <si>
    <t>10:14</t>
  </si>
  <si>
    <t>10:17</t>
  </si>
  <si>
    <t>10:21</t>
  </si>
  <si>
    <t>10:24</t>
  </si>
  <si>
    <t>10:29</t>
  </si>
  <si>
    <t>10:33</t>
  </si>
  <si>
    <t>10:35</t>
  </si>
  <si>
    <t>10:36</t>
  </si>
  <si>
    <t>10:38</t>
  </si>
  <si>
    <t>10:40</t>
  </si>
  <si>
    <t>10:42</t>
  </si>
  <si>
    <t>10:45</t>
  </si>
  <si>
    <t>10:49</t>
  </si>
  <si>
    <t>10:50</t>
  </si>
  <si>
    <t>10:51</t>
  </si>
  <si>
    <t>10:52</t>
  </si>
  <si>
    <t>10:53</t>
  </si>
  <si>
    <t>10:56</t>
  </si>
  <si>
    <t>10:59</t>
  </si>
  <si>
    <t>11:00</t>
  </si>
  <si>
    <t>11:05</t>
  </si>
  <si>
    <t>11:06</t>
  </si>
  <si>
    <t>11:07</t>
  </si>
  <si>
    <t>11:09</t>
  </si>
  <si>
    <t>11:11</t>
  </si>
  <si>
    <t>11:13</t>
  </si>
  <si>
    <t>11:15</t>
  </si>
  <si>
    <t>11:18</t>
  </si>
  <si>
    <t>11:19</t>
  </si>
  <si>
    <t>11:20</t>
  </si>
  <si>
    <t>11:21</t>
  </si>
  <si>
    <t>11:29</t>
  </si>
  <si>
    <t>11:30</t>
  </si>
  <si>
    <t>11:33</t>
  </si>
  <si>
    <t>11:35</t>
  </si>
  <si>
    <t>11:36</t>
  </si>
  <si>
    <t>11:39</t>
  </si>
  <si>
    <t>11:44</t>
  </si>
  <si>
    <t>11:45</t>
  </si>
  <si>
    <t>11:46</t>
  </si>
  <si>
    <t>11:47</t>
  </si>
  <si>
    <t>11:48</t>
  </si>
  <si>
    <t>11:49</t>
  </si>
  <si>
    <t>11:50</t>
  </si>
  <si>
    <t>11:51</t>
  </si>
  <si>
    <t>11:53</t>
  </si>
  <si>
    <t>11:59</t>
  </si>
  <si>
    <t>12:01</t>
  </si>
  <si>
    <t>12:02</t>
  </si>
  <si>
    <t>12:04</t>
  </si>
  <si>
    <t>12:06</t>
  </si>
  <si>
    <t>12:08</t>
  </si>
  <si>
    <t>12:09</t>
  </si>
  <si>
    <t>12:12</t>
  </si>
  <si>
    <t>12:14</t>
  </si>
  <si>
    <t>12:18</t>
  </si>
  <si>
    <t>12:20</t>
  </si>
  <si>
    <t>12:22</t>
  </si>
  <si>
    <t>12:23</t>
  </si>
  <si>
    <t>12:24</t>
  </si>
  <si>
    <t>12:25</t>
  </si>
  <si>
    <t>12:26</t>
  </si>
  <si>
    <t>12:27</t>
  </si>
  <si>
    <t>12:29</t>
  </si>
  <si>
    <t>12:30</t>
  </si>
  <si>
    <t>12:33</t>
  </si>
  <si>
    <t>12:39</t>
  </si>
  <si>
    <t>12:44</t>
  </si>
  <si>
    <t>12:45</t>
  </si>
  <si>
    <t>12:46</t>
  </si>
  <si>
    <t>12:47</t>
  </si>
  <si>
    <t>12:50</t>
  </si>
  <si>
    <t>12:52</t>
  </si>
  <si>
    <t>12:53</t>
  </si>
  <si>
    <t>12:54</t>
  </si>
  <si>
    <t>13:02</t>
  </si>
  <si>
    <t>13:06</t>
  </si>
  <si>
    <t>13:07</t>
  </si>
  <si>
    <t>13:14</t>
  </si>
  <si>
    <t>13:17</t>
  </si>
  <si>
    <t>13:18</t>
  </si>
  <si>
    <t>13:24</t>
  </si>
  <si>
    <t>13:30</t>
  </si>
  <si>
    <t>13:32</t>
  </si>
  <si>
    <t>13:33</t>
  </si>
  <si>
    <t>13:35</t>
  </si>
  <si>
    <t>13:37</t>
  </si>
  <si>
    <t>13:38</t>
  </si>
  <si>
    <t>13:39</t>
  </si>
  <si>
    <t>13:41</t>
  </si>
  <si>
    <t>13:42</t>
  </si>
  <si>
    <t>13:48</t>
  </si>
  <si>
    <t>13:55</t>
  </si>
  <si>
    <t>13:57</t>
  </si>
  <si>
    <t>14:02</t>
  </si>
  <si>
    <t>14:07</t>
  </si>
  <si>
    <t>14:10</t>
  </si>
  <si>
    <t>14:11</t>
  </si>
  <si>
    <t>14:13</t>
  </si>
  <si>
    <t>14:14</t>
  </si>
  <si>
    <t>14:15</t>
  </si>
  <si>
    <t>14:16</t>
  </si>
  <si>
    <t>14:17</t>
  </si>
  <si>
    <t>14:18</t>
  </si>
  <si>
    <t>14:19</t>
  </si>
  <si>
    <t>14:22</t>
  </si>
  <si>
    <t>14:23</t>
  </si>
  <si>
    <t>14:25</t>
  </si>
  <si>
    <t>14:27</t>
  </si>
  <si>
    <t>14:29</t>
  </si>
  <si>
    <t>14:30</t>
  </si>
  <si>
    <t>14:31</t>
  </si>
  <si>
    <t>14:32</t>
  </si>
  <si>
    <t>14:35</t>
  </si>
  <si>
    <t>14:37</t>
  </si>
  <si>
    <t>14:40</t>
  </si>
  <si>
    <t>14:41</t>
  </si>
  <si>
    <t>14:43</t>
  </si>
  <si>
    <t>14:44</t>
  </si>
  <si>
    <t>14:46</t>
  </si>
  <si>
    <t>14:50</t>
  </si>
  <si>
    <t>14:52</t>
  </si>
  <si>
    <t>14:54</t>
  </si>
  <si>
    <t>15:00</t>
  </si>
  <si>
    <t>15:02</t>
  </si>
  <si>
    <t>15:04</t>
  </si>
  <si>
    <t>15:05</t>
  </si>
  <si>
    <t>15:09</t>
  </si>
  <si>
    <t>15:15</t>
  </si>
  <si>
    <t>15:17</t>
  </si>
  <si>
    <t>15:20</t>
  </si>
  <si>
    <t>15:21</t>
  </si>
  <si>
    <t>15:22</t>
  </si>
  <si>
    <t>15:26</t>
  </si>
  <si>
    <t>15:27</t>
  </si>
  <si>
    <t>15:29</t>
  </si>
  <si>
    <t>15:30</t>
  </si>
  <si>
    <t>15:34</t>
  </si>
  <si>
    <t>15:35</t>
  </si>
  <si>
    <t>15:37</t>
  </si>
  <si>
    <t>15:38</t>
  </si>
  <si>
    <t>15:40</t>
  </si>
  <si>
    <t>15:41</t>
  </si>
  <si>
    <t>15:43</t>
  </si>
  <si>
    <t>15:45</t>
  </si>
  <si>
    <t>15:46</t>
  </si>
  <si>
    <t>15:47</t>
  </si>
  <si>
    <t>15:52</t>
  </si>
  <si>
    <t>15:54</t>
  </si>
  <si>
    <t>15:59</t>
  </si>
  <si>
    <t>16:00</t>
  </si>
  <si>
    <t>16:02</t>
  </si>
  <si>
    <t>16:05</t>
  </si>
  <si>
    <t>16:06</t>
  </si>
  <si>
    <t>16:07</t>
  </si>
  <si>
    <t>16:13</t>
  </si>
  <si>
    <t>16:14</t>
  </si>
  <si>
    <t>16:15</t>
  </si>
  <si>
    <t>16:19</t>
  </si>
  <si>
    <t>16:21</t>
  </si>
  <si>
    <t>16:24</t>
  </si>
  <si>
    <t>16:25</t>
  </si>
  <si>
    <t>16:26</t>
  </si>
  <si>
    <t>16:27</t>
  </si>
  <si>
    <t>16:29</t>
  </si>
  <si>
    <t>16:30</t>
  </si>
  <si>
    <t>16:32</t>
  </si>
  <si>
    <t>16:34</t>
  </si>
  <si>
    <t>16:37</t>
  </si>
  <si>
    <t>16:39</t>
  </si>
  <si>
    <t>16:46</t>
  </si>
  <si>
    <t>16:49</t>
  </si>
  <si>
    <t>16:51</t>
  </si>
  <si>
    <t>16:52</t>
  </si>
  <si>
    <t>16:53</t>
  </si>
  <si>
    <t>16:54</t>
  </si>
  <si>
    <t>16:57</t>
  </si>
  <si>
    <t>16:59</t>
  </si>
  <si>
    <t>17:02</t>
  </si>
  <si>
    <t>17:05</t>
  </si>
  <si>
    <t>17:06</t>
  </si>
  <si>
    <t>17:10</t>
  </si>
  <si>
    <t>17:11</t>
  </si>
  <si>
    <t>17:14</t>
  </si>
  <si>
    <t>17:16</t>
  </si>
  <si>
    <t>17:17</t>
  </si>
  <si>
    <t>17:18</t>
  </si>
  <si>
    <t>17:22</t>
  </si>
  <si>
    <t>17:23</t>
  </si>
  <si>
    <t>17:24</t>
  </si>
  <si>
    <t>17:25</t>
  </si>
  <si>
    <t>17:26</t>
  </si>
  <si>
    <t>17:27</t>
  </si>
  <si>
    <t>17:28</t>
  </si>
  <si>
    <t>17:30</t>
  </si>
  <si>
    <t>17:31</t>
  </si>
  <si>
    <t>17:34</t>
  </si>
  <si>
    <t>17:35</t>
  </si>
  <si>
    <t>17:37</t>
  </si>
  <si>
    <t>17:42</t>
  </si>
  <si>
    <t>17:43</t>
  </si>
  <si>
    <t>17:46</t>
  </si>
  <si>
    <t>17:47</t>
  </si>
  <si>
    <t>17:50</t>
  </si>
  <si>
    <t>17:52</t>
  </si>
  <si>
    <t>17:54</t>
  </si>
  <si>
    <t>17:55</t>
  </si>
  <si>
    <t>17:57</t>
  </si>
  <si>
    <t>17:58</t>
  </si>
  <si>
    <t>17:59</t>
  </si>
  <si>
    <t>18:00</t>
  </si>
  <si>
    <t>18:01</t>
  </si>
  <si>
    <t>18:03</t>
  </si>
  <si>
    <t>18:05</t>
  </si>
  <si>
    <t>18:07</t>
  </si>
  <si>
    <t>18:08</t>
  </si>
  <si>
    <t>18:09</t>
  </si>
  <si>
    <t>18:11</t>
  </si>
  <si>
    <t>18:12</t>
  </si>
  <si>
    <t>18:13</t>
  </si>
  <si>
    <t>18:22</t>
  </si>
  <si>
    <t>18:23</t>
  </si>
  <si>
    <t>18:33</t>
  </si>
  <si>
    <t>18:36</t>
  </si>
  <si>
    <t>18:37</t>
  </si>
  <si>
    <t>18:38</t>
  </si>
  <si>
    <t>18:39</t>
  </si>
  <si>
    <t>18:41</t>
  </si>
  <si>
    <t>18:42</t>
  </si>
  <si>
    <t>18:48</t>
  </si>
  <si>
    <t>18:50</t>
  </si>
  <si>
    <t>18:53</t>
  </si>
  <si>
    <t>18:56</t>
  </si>
  <si>
    <t>18:58</t>
  </si>
  <si>
    <t>19:00</t>
  </si>
  <si>
    <t>19:02</t>
  </si>
  <si>
    <t>19:03</t>
  </si>
  <si>
    <t>19:04</t>
  </si>
  <si>
    <t>19:05</t>
  </si>
  <si>
    <t>19:07</t>
  </si>
  <si>
    <t>19:09</t>
  </si>
  <si>
    <t>19:11</t>
  </si>
  <si>
    <t>19:12</t>
  </si>
  <si>
    <t>19:13</t>
  </si>
  <si>
    <t>19:14</t>
  </si>
  <si>
    <t>19:18</t>
  </si>
  <si>
    <t>19:19</t>
  </si>
  <si>
    <t>19:20</t>
  </si>
  <si>
    <t>19:22</t>
  </si>
  <si>
    <t>19:26</t>
  </si>
  <si>
    <t>19:27</t>
  </si>
  <si>
    <t>19:28</t>
  </si>
  <si>
    <t>19:29</t>
  </si>
  <si>
    <t>19:31</t>
  </si>
  <si>
    <t>19:32</t>
  </si>
  <si>
    <t>19:36</t>
  </si>
  <si>
    <t>19:41</t>
  </si>
  <si>
    <t>19:44</t>
  </si>
  <si>
    <t>19:45</t>
  </si>
  <si>
    <t>19:48</t>
  </si>
  <si>
    <t>19:49</t>
  </si>
  <si>
    <t>19:54</t>
  </si>
  <si>
    <t>19:56</t>
  </si>
  <si>
    <t>19:59</t>
  </si>
  <si>
    <t>20:02</t>
  </si>
  <si>
    <t>20:03</t>
  </si>
  <si>
    <t>20:04</t>
  </si>
  <si>
    <t>20:05</t>
  </si>
  <si>
    <t>20:10</t>
  </si>
  <si>
    <t>20:14</t>
  </si>
  <si>
    <t>20:16</t>
  </si>
  <si>
    <t>20:17</t>
  </si>
  <si>
    <t>20:27</t>
  </si>
  <si>
    <t>20:32</t>
  </si>
  <si>
    <t>20:34</t>
  </si>
  <si>
    <t>20:35</t>
  </si>
  <si>
    <t>20:39</t>
  </si>
  <si>
    <t>20:41</t>
  </si>
  <si>
    <t>20:46</t>
  </si>
  <si>
    <t>20:49</t>
  </si>
  <si>
    <t>20:56</t>
  </si>
  <si>
    <t>21:00</t>
  </si>
  <si>
    <t>21:01</t>
  </si>
  <si>
    <t>21:06</t>
  </si>
  <si>
    <t>21:12</t>
  </si>
  <si>
    <t>21:16</t>
  </si>
  <si>
    <t>21:20</t>
  </si>
  <si>
    <t>21:21</t>
  </si>
  <si>
    <t>21:22</t>
  </si>
  <si>
    <t>21:33</t>
  </si>
  <si>
    <t>21:37</t>
  </si>
  <si>
    <t>21:45</t>
  </si>
  <si>
    <t>22:00</t>
  </si>
  <si>
    <t>22:05</t>
  </si>
  <si>
    <t>22:06</t>
  </si>
  <si>
    <t>22:10</t>
  </si>
  <si>
    <t>22:11</t>
  </si>
  <si>
    <t>22:16</t>
  </si>
  <si>
    <t>22:18</t>
  </si>
  <si>
    <t>22:36</t>
  </si>
  <si>
    <t>22:39</t>
  </si>
  <si>
    <t>22:46</t>
  </si>
  <si>
    <t>22:54</t>
  </si>
  <si>
    <t>23:04</t>
  </si>
  <si>
    <t>23:08</t>
  </si>
  <si>
    <t>23:26</t>
  </si>
  <si>
    <t>23:28</t>
  </si>
  <si>
    <t>23:29</t>
  </si>
  <si>
    <t>23:44</t>
  </si>
  <si>
    <t>23:53</t>
  </si>
  <si>
    <t>23:58</t>
  </si>
  <si>
    <t>Cantidad de ventas</t>
  </si>
  <si>
    <t>$1990 - $1.001.989</t>
  </si>
  <si>
    <t>Rango de preciod de los items más vendidos</t>
  </si>
  <si>
    <t>$1.001.990 - $2.001.989</t>
  </si>
  <si>
    <t>$2.001.990 - $3.001.989</t>
  </si>
  <si>
    <t>$3.001.990 - $4.001.989</t>
  </si>
  <si>
    <t>$4.001.990 - $5.001.989</t>
  </si>
  <si>
    <t>Promedio de ventas</t>
  </si>
  <si>
    <t>PALETA DE COLORES ELEGIDA</t>
  </si>
  <si>
    <t>VISUAL</t>
  </si>
  <si>
    <t>Promedio vendido</t>
  </si>
  <si>
    <t>Máx. vendido</t>
  </si>
  <si>
    <t>Mín. vendido</t>
  </si>
  <si>
    <t>Total vendido</t>
  </si>
  <si>
    <t>Promedio precio</t>
  </si>
  <si>
    <t xml:space="preserve">TIPOGRAFIA ELEGIDA: </t>
  </si>
  <si>
    <t>FIRA SANS MEDIUM</t>
  </si>
  <si>
    <t>Auriculares Bluetooth In-Ear Gamer</t>
  </si>
  <si>
    <t>Art-Jet A4 fotográfico de 20 hojas</t>
  </si>
  <si>
    <t>cápsula Nescafé Dolce Gusto</t>
  </si>
  <si>
    <t xml:space="preserve">Disco sólido interno Kingston 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</si>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</sst>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_-* #,##0_-;\-* #,##0_-;_-* &quot;-&quot;??_-;_-@_-"/>
  </numFmts>
  <fonts count="3" x14ac:knownFonts="1">
    <font>
      <sz val="11"/>
      <color theme="1"/>
      <name val="Calibri"/>
      <family val="2"/>
      <scheme val="minor"/>
    </font>
    <font>
      <sz val="48"/>
      <color theme="1"/>
      <name val="Calibri"/>
      <family val="2"/>
      <scheme val="minor"/>
    </font>
    <font>
      <sz val="11"/>
      <color theme="1"/>
      <name val="Fira Sans Medium"/>
      <family val="2"/>
    </font>
  </fonts>
  <fills count="9">
    <fill>
      <patternFill patternType="none"/>
    </fill>
    <fill>
      <patternFill patternType="gray125"/>
    </fill>
    <fill>
      <patternFill patternType="solid">
        <fgColor rgb="FFFFEF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D29"/>
        <bgColor indexed="64"/>
      </patternFill>
    </fill>
    <fill>
      <patternFill patternType="solid">
        <fgColor rgb="FF412E84"/>
        <bgColor indexed="64"/>
      </patternFill>
    </fill>
    <fill>
      <patternFill patternType="solid">
        <fgColor rgb="FFB8D2FF"/>
        <bgColor indexed="64"/>
      </patternFill>
    </fill>
    <fill>
      <patternFill patternType="solid">
        <fgColor rgb="FF8CC0A1"/>
        <bgColor indexed="64"/>
      </patternFill>
    </fill>
    <fill>
      <patternFill patternType="solid">
        <fgColor rgb="FF14483E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1" fillId="0" borderId="0" xfId="0" applyFont="1"/>
    <xf numFmtId="0" fontId="0" fillId="6" borderId="0" xfId="0" applyFill="1"/>
    <xf numFmtId="0" fontId="2" fillId="0" borderId="0" xfId="0" applyFont="1"/>
  </cellXfs>
  <cellStyles count="1">
    <cellStyle name="Normal" xfId="0" builtinId="0"/>
  </cellStyles>
  <dxfs count="8"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164" formatCode="_-* #,##0_-;\-* #,##0_-;_-* &quot;-&quot;??_-;_-@_-"/>
    </dxf>
    <dxf>
      <numFmt numFmtId="27" formatCode="d/m/yyyy\ hh:mm"/>
    </dxf>
    <dxf>
      <numFmt numFmtId="19" formatCode="d/m/yyyy"/>
    </dxf>
    <dxf>
      <font>
        <b/>
        <i val="0"/>
        <sz val="8"/>
        <color theme="1"/>
        <name val="Fira Sans Medium"/>
        <family val="2"/>
        <scheme val="none"/>
      </font>
      <fill>
        <patternFill patternType="solid">
          <bgColor rgb="FFFFFFCC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1" pivot="0" table="0" count="3" xr9:uid="{9760AB03-7167-4584-9954-372B0E4DB96B}">
      <tableStyleElement type="wholeTable" dxfId="7"/>
    </tableStyle>
  </tableStyles>
  <colors>
    <mruColors>
      <color rgb="FF402E84"/>
      <color rgb="FFFFFFCC"/>
      <color rgb="FFFFEF19"/>
      <color rgb="FF14483E"/>
      <color rgb="FF8CC0A1"/>
      <color rgb="FFB8D2FF"/>
      <color rgb="FFFFCD29"/>
      <color rgb="FF000000"/>
      <color rgb="FFFFF8F0"/>
      <color rgb="FF412E84"/>
    </mruColors>
  </colors>
  <extLst>
    <ext xmlns:x14="http://schemas.microsoft.com/office/spreadsheetml/2009/9/main" uri="{46F421CA-312F-682f-3DD2-61675219B42D}">
      <x14:dxfs count="2">
        <dxf>
          <fill>
            <patternFill patternType="none">
              <bgColor auto="1"/>
            </patternFill>
          </fill>
        </dxf>
        <dxf>
          <fill>
            <patternFill>
              <bgColor rgb="FFFFCD29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1">
          <x14:slicerStyleElements>
            <x14:slicerStyleElement type="un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5 CATEGORIAS CON MÁS VENTAS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Análisis!$B$46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0CB-4A94-AB02-DDF924918E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E62-440E-9D9B-1F120AD012E1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E62-440E-9D9B-1F120AD012E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AE62-440E-9D9B-1F120AD012E1}"/>
              </c:ext>
            </c:extLst>
          </c:dPt>
          <c:dLbls>
            <c:numFmt formatCode="0.00%" sourceLinked="0"/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Análisis!$A$47:$A$50</c:f>
              <c:strCache>
                <c:ptCount val="4"/>
                <c:pt idx="0">
                  <c:v>Otros</c:v>
                </c:pt>
                <c:pt idx="1">
                  <c:v>Alimentos y Bebidas</c:v>
                </c:pt>
                <c:pt idx="2">
                  <c:v>Arte, Librería y Mercería</c:v>
                </c:pt>
                <c:pt idx="3">
                  <c:v>Computación</c:v>
                </c:pt>
              </c:strCache>
            </c:strRef>
          </c:cat>
          <c:val>
            <c:numRef>
              <c:f>Análisis!$B$47:$B$50</c:f>
              <c:numCache>
                <c:formatCode>General</c:formatCode>
                <c:ptCount val="4"/>
                <c:pt idx="0">
                  <c:v>9219947</c:v>
                </c:pt>
                <c:pt idx="1">
                  <c:v>1500555</c:v>
                </c:pt>
                <c:pt idx="2">
                  <c:v>1243583</c:v>
                </c:pt>
                <c:pt idx="3">
                  <c:v>1700688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CB-4A94-AB02-DDF924918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Análisis!$B$64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D-49A1-8DDC-DDDE1ED4451F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D-49A1-8DDC-DDDE1ED4451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D-49A1-8DDC-DDDE1ED4451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D-49A1-8DDC-DDDE1ED4451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D-49A1-8DDC-DDDE1ED4451F}"/>
              </c:ext>
            </c:extLst>
          </c:dPt>
          <c:cat>
            <c:strRef>
              <c:f>Análisis!$A$65:$A$69</c:f>
              <c:strCache>
                <c:ptCount val="5"/>
                <c:pt idx="0">
                  <c:v>Auriculares Bluetooth In-Ear Gamer</c:v>
                </c:pt>
                <c:pt idx="1">
                  <c:v>Art-Jet A4 fotográfico de 20 hojas</c:v>
                </c:pt>
                <c:pt idx="2">
                  <c:v>cápsula Nescafé Dolce Gusto</c:v>
                </c:pt>
                <c:pt idx="3">
                  <c:v>Resma Punax A4 75 gr</c:v>
                </c:pt>
                <c:pt idx="4">
                  <c:v>Disco sólido interno Kingston </c:v>
                </c:pt>
              </c:strCache>
            </c:strRef>
          </c:cat>
          <c:val>
            <c:numRef>
              <c:f>Análisis!$B$65:$B$69</c:f>
              <c:numCache>
                <c:formatCode>General</c:formatCode>
                <c:ptCount val="5"/>
                <c:pt idx="0">
                  <c:v>644060</c:v>
                </c:pt>
                <c:pt idx="1">
                  <c:v>555872</c:v>
                </c:pt>
                <c:pt idx="2">
                  <c:v>325106</c:v>
                </c:pt>
                <c:pt idx="3">
                  <c:v>274340</c:v>
                </c:pt>
                <c:pt idx="4">
                  <c:v>265262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30-4463-B983-70A448B09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</c:legendEntry>
      <c:layout>
        <c:manualLayout>
          <c:xMode val="edge"/>
          <c:yMode val="edge"/>
          <c:x val="0.6297424808743215"/>
          <c:y val="0.10085014273614203"/>
          <c:w val="0.33860809834745997"/>
          <c:h val="0.815429097259256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Análisis!$R$81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Análisis!$Q$82:$Q$444</c:f>
              <c:strCache>
                <c:ptCount val="363"/>
                <c:pt idx="0">
                  <c:v>00:01</c:v>
                </c:pt>
                <c:pt idx="1">
                  <c:v>00:07</c:v>
                </c:pt>
                <c:pt idx="2">
                  <c:v>00:15</c:v>
                </c:pt>
                <c:pt idx="3">
                  <c:v>00:35</c:v>
                </c:pt>
                <c:pt idx="4">
                  <c:v>00:41</c:v>
                </c:pt>
                <c:pt idx="5">
                  <c:v>00:43</c:v>
                </c:pt>
                <c:pt idx="6">
                  <c:v>00:48</c:v>
                </c:pt>
                <c:pt idx="7">
                  <c:v>00:49</c:v>
                </c:pt>
                <c:pt idx="8">
                  <c:v>01:00</c:v>
                </c:pt>
                <c:pt idx="9">
                  <c:v>01:01</c:v>
                </c:pt>
                <c:pt idx="10">
                  <c:v>01:18</c:v>
                </c:pt>
                <c:pt idx="11">
                  <c:v>01:24</c:v>
                </c:pt>
                <c:pt idx="12">
                  <c:v>02:06</c:v>
                </c:pt>
                <c:pt idx="13">
                  <c:v>02:21</c:v>
                </c:pt>
                <c:pt idx="14">
                  <c:v>02:28</c:v>
                </c:pt>
                <c:pt idx="15">
                  <c:v>02:32</c:v>
                </c:pt>
                <c:pt idx="16">
                  <c:v>02:51</c:v>
                </c:pt>
                <c:pt idx="17">
                  <c:v>04:13</c:v>
                </c:pt>
                <c:pt idx="18">
                  <c:v>04:34</c:v>
                </c:pt>
                <c:pt idx="19">
                  <c:v>07:55</c:v>
                </c:pt>
                <c:pt idx="20">
                  <c:v>08:05</c:v>
                </c:pt>
                <c:pt idx="21">
                  <c:v>08:07</c:v>
                </c:pt>
                <c:pt idx="22">
                  <c:v>08:13</c:v>
                </c:pt>
                <c:pt idx="23">
                  <c:v>08:23</c:v>
                </c:pt>
                <c:pt idx="24">
                  <c:v>08:29</c:v>
                </c:pt>
                <c:pt idx="25">
                  <c:v>08:36</c:v>
                </c:pt>
                <c:pt idx="26">
                  <c:v>08:37</c:v>
                </c:pt>
                <c:pt idx="27">
                  <c:v>08:38</c:v>
                </c:pt>
                <c:pt idx="28">
                  <c:v>08:59</c:v>
                </c:pt>
                <c:pt idx="29">
                  <c:v>09:04</c:v>
                </c:pt>
                <c:pt idx="30">
                  <c:v>09:08</c:v>
                </c:pt>
                <c:pt idx="31">
                  <c:v>09:09</c:v>
                </c:pt>
                <c:pt idx="32">
                  <c:v>09:17</c:v>
                </c:pt>
                <c:pt idx="33">
                  <c:v>09:22</c:v>
                </c:pt>
                <c:pt idx="34">
                  <c:v>09:23</c:v>
                </c:pt>
                <c:pt idx="35">
                  <c:v>09:25</c:v>
                </c:pt>
                <c:pt idx="36">
                  <c:v>09:26</c:v>
                </c:pt>
                <c:pt idx="37">
                  <c:v>09:27</c:v>
                </c:pt>
                <c:pt idx="38">
                  <c:v>09:28</c:v>
                </c:pt>
                <c:pt idx="39">
                  <c:v>09:31</c:v>
                </c:pt>
                <c:pt idx="40">
                  <c:v>09:39</c:v>
                </c:pt>
                <c:pt idx="41">
                  <c:v>09:40</c:v>
                </c:pt>
                <c:pt idx="42">
                  <c:v>09:46</c:v>
                </c:pt>
                <c:pt idx="43">
                  <c:v>09:49</c:v>
                </c:pt>
                <c:pt idx="44">
                  <c:v>09:50</c:v>
                </c:pt>
                <c:pt idx="45">
                  <c:v>09:52</c:v>
                </c:pt>
                <c:pt idx="46">
                  <c:v>09:54</c:v>
                </c:pt>
                <c:pt idx="47">
                  <c:v>10:00</c:v>
                </c:pt>
                <c:pt idx="48">
                  <c:v>10:01</c:v>
                </c:pt>
                <c:pt idx="49">
                  <c:v>10:02</c:v>
                </c:pt>
                <c:pt idx="50">
                  <c:v>10:03</c:v>
                </c:pt>
                <c:pt idx="51">
                  <c:v>10:10</c:v>
                </c:pt>
                <c:pt idx="52">
                  <c:v>10:14</c:v>
                </c:pt>
                <c:pt idx="53">
                  <c:v>10:17</c:v>
                </c:pt>
                <c:pt idx="54">
                  <c:v>10:21</c:v>
                </c:pt>
                <c:pt idx="55">
                  <c:v>10:24</c:v>
                </c:pt>
                <c:pt idx="56">
                  <c:v>10:29</c:v>
                </c:pt>
                <c:pt idx="57">
                  <c:v>10:33</c:v>
                </c:pt>
                <c:pt idx="58">
                  <c:v>10:35</c:v>
                </c:pt>
                <c:pt idx="59">
                  <c:v>10:36</c:v>
                </c:pt>
                <c:pt idx="60">
                  <c:v>10:38</c:v>
                </c:pt>
                <c:pt idx="61">
                  <c:v>10:40</c:v>
                </c:pt>
                <c:pt idx="62">
                  <c:v>10:42</c:v>
                </c:pt>
                <c:pt idx="63">
                  <c:v>10:45</c:v>
                </c:pt>
                <c:pt idx="64">
                  <c:v>10:49</c:v>
                </c:pt>
                <c:pt idx="65">
                  <c:v>10:50</c:v>
                </c:pt>
                <c:pt idx="66">
                  <c:v>10:51</c:v>
                </c:pt>
                <c:pt idx="67">
                  <c:v>10:52</c:v>
                </c:pt>
                <c:pt idx="68">
                  <c:v>10:53</c:v>
                </c:pt>
                <c:pt idx="69">
                  <c:v>10:56</c:v>
                </c:pt>
                <c:pt idx="70">
                  <c:v>10:59</c:v>
                </c:pt>
                <c:pt idx="71">
                  <c:v>11:00</c:v>
                </c:pt>
                <c:pt idx="72">
                  <c:v>11:05</c:v>
                </c:pt>
                <c:pt idx="73">
                  <c:v>11:06</c:v>
                </c:pt>
                <c:pt idx="74">
                  <c:v>11:07</c:v>
                </c:pt>
                <c:pt idx="75">
                  <c:v>11:09</c:v>
                </c:pt>
                <c:pt idx="76">
                  <c:v>11:11</c:v>
                </c:pt>
                <c:pt idx="77">
                  <c:v>11:13</c:v>
                </c:pt>
                <c:pt idx="78">
                  <c:v>11:15</c:v>
                </c:pt>
                <c:pt idx="79">
                  <c:v>11:18</c:v>
                </c:pt>
                <c:pt idx="80">
                  <c:v>11:19</c:v>
                </c:pt>
                <c:pt idx="81">
                  <c:v>11:20</c:v>
                </c:pt>
                <c:pt idx="82">
                  <c:v>11:21</c:v>
                </c:pt>
                <c:pt idx="83">
                  <c:v>11:29</c:v>
                </c:pt>
                <c:pt idx="84">
                  <c:v>11:30</c:v>
                </c:pt>
                <c:pt idx="85">
                  <c:v>11:33</c:v>
                </c:pt>
                <c:pt idx="86">
                  <c:v>11:35</c:v>
                </c:pt>
                <c:pt idx="87">
                  <c:v>11:36</c:v>
                </c:pt>
                <c:pt idx="88">
                  <c:v>11:39</c:v>
                </c:pt>
                <c:pt idx="89">
                  <c:v>11:44</c:v>
                </c:pt>
                <c:pt idx="90">
                  <c:v>11:45</c:v>
                </c:pt>
                <c:pt idx="91">
                  <c:v>11:46</c:v>
                </c:pt>
                <c:pt idx="92">
                  <c:v>11:47</c:v>
                </c:pt>
                <c:pt idx="93">
                  <c:v>11:48</c:v>
                </c:pt>
                <c:pt idx="94">
                  <c:v>11:49</c:v>
                </c:pt>
                <c:pt idx="95">
                  <c:v>11:50</c:v>
                </c:pt>
                <c:pt idx="96">
                  <c:v>11:51</c:v>
                </c:pt>
                <c:pt idx="97">
                  <c:v>11:53</c:v>
                </c:pt>
                <c:pt idx="98">
                  <c:v>11:59</c:v>
                </c:pt>
                <c:pt idx="99">
                  <c:v>12:01</c:v>
                </c:pt>
                <c:pt idx="100">
                  <c:v>12:02</c:v>
                </c:pt>
                <c:pt idx="101">
                  <c:v>12:04</c:v>
                </c:pt>
                <c:pt idx="102">
                  <c:v>12:06</c:v>
                </c:pt>
                <c:pt idx="103">
                  <c:v>12:08</c:v>
                </c:pt>
                <c:pt idx="104">
                  <c:v>12:09</c:v>
                </c:pt>
                <c:pt idx="105">
                  <c:v>12:12</c:v>
                </c:pt>
                <c:pt idx="106">
                  <c:v>12:14</c:v>
                </c:pt>
                <c:pt idx="107">
                  <c:v>12:18</c:v>
                </c:pt>
                <c:pt idx="108">
                  <c:v>12:20</c:v>
                </c:pt>
                <c:pt idx="109">
                  <c:v>12:22</c:v>
                </c:pt>
                <c:pt idx="110">
                  <c:v>12:23</c:v>
                </c:pt>
                <c:pt idx="111">
                  <c:v>12:24</c:v>
                </c:pt>
                <c:pt idx="112">
                  <c:v>12:25</c:v>
                </c:pt>
                <c:pt idx="113">
                  <c:v>12:26</c:v>
                </c:pt>
                <c:pt idx="114">
                  <c:v>12:27</c:v>
                </c:pt>
                <c:pt idx="115">
                  <c:v>12:29</c:v>
                </c:pt>
                <c:pt idx="116">
                  <c:v>12:30</c:v>
                </c:pt>
                <c:pt idx="117">
                  <c:v>12:33</c:v>
                </c:pt>
                <c:pt idx="118">
                  <c:v>12:39</c:v>
                </c:pt>
                <c:pt idx="119">
                  <c:v>12:44</c:v>
                </c:pt>
                <c:pt idx="120">
                  <c:v>12:45</c:v>
                </c:pt>
                <c:pt idx="121">
                  <c:v>12:46</c:v>
                </c:pt>
                <c:pt idx="122">
                  <c:v>12:47</c:v>
                </c:pt>
                <c:pt idx="123">
                  <c:v>12:50</c:v>
                </c:pt>
                <c:pt idx="124">
                  <c:v>12:52</c:v>
                </c:pt>
                <c:pt idx="125">
                  <c:v>12:53</c:v>
                </c:pt>
                <c:pt idx="126">
                  <c:v>12:54</c:v>
                </c:pt>
                <c:pt idx="127">
                  <c:v>13:02</c:v>
                </c:pt>
                <c:pt idx="128">
                  <c:v>13:06</c:v>
                </c:pt>
                <c:pt idx="129">
                  <c:v>13:07</c:v>
                </c:pt>
                <c:pt idx="130">
                  <c:v>13:14</c:v>
                </c:pt>
                <c:pt idx="131">
                  <c:v>13:17</c:v>
                </c:pt>
                <c:pt idx="132">
                  <c:v>13:18</c:v>
                </c:pt>
                <c:pt idx="133">
                  <c:v>13:24</c:v>
                </c:pt>
                <c:pt idx="134">
                  <c:v>13:30</c:v>
                </c:pt>
                <c:pt idx="135">
                  <c:v>13:32</c:v>
                </c:pt>
                <c:pt idx="136">
                  <c:v>13:33</c:v>
                </c:pt>
                <c:pt idx="137">
                  <c:v>13:35</c:v>
                </c:pt>
                <c:pt idx="138">
                  <c:v>13:37</c:v>
                </c:pt>
                <c:pt idx="139">
                  <c:v>13:38</c:v>
                </c:pt>
                <c:pt idx="140">
                  <c:v>13:39</c:v>
                </c:pt>
                <c:pt idx="141">
                  <c:v>13:41</c:v>
                </c:pt>
                <c:pt idx="142">
                  <c:v>13:42</c:v>
                </c:pt>
                <c:pt idx="143">
                  <c:v>13:48</c:v>
                </c:pt>
                <c:pt idx="144">
                  <c:v>13:55</c:v>
                </c:pt>
                <c:pt idx="145">
                  <c:v>13:57</c:v>
                </c:pt>
                <c:pt idx="146">
                  <c:v>14:02</c:v>
                </c:pt>
                <c:pt idx="147">
                  <c:v>14:07</c:v>
                </c:pt>
                <c:pt idx="148">
                  <c:v>14:10</c:v>
                </c:pt>
                <c:pt idx="149">
                  <c:v>14:11</c:v>
                </c:pt>
                <c:pt idx="150">
                  <c:v>14:13</c:v>
                </c:pt>
                <c:pt idx="151">
                  <c:v>14:14</c:v>
                </c:pt>
                <c:pt idx="152">
                  <c:v>14:15</c:v>
                </c:pt>
                <c:pt idx="153">
                  <c:v>14:16</c:v>
                </c:pt>
                <c:pt idx="154">
                  <c:v>14:17</c:v>
                </c:pt>
                <c:pt idx="155">
                  <c:v>14:18</c:v>
                </c:pt>
                <c:pt idx="156">
                  <c:v>14:19</c:v>
                </c:pt>
                <c:pt idx="157">
                  <c:v>14:22</c:v>
                </c:pt>
                <c:pt idx="158">
                  <c:v>14:23</c:v>
                </c:pt>
                <c:pt idx="159">
                  <c:v>14:25</c:v>
                </c:pt>
                <c:pt idx="160">
                  <c:v>14:27</c:v>
                </c:pt>
                <c:pt idx="161">
                  <c:v>14:29</c:v>
                </c:pt>
                <c:pt idx="162">
                  <c:v>14:30</c:v>
                </c:pt>
                <c:pt idx="163">
                  <c:v>14:31</c:v>
                </c:pt>
                <c:pt idx="164">
                  <c:v>14:32</c:v>
                </c:pt>
                <c:pt idx="165">
                  <c:v>14:35</c:v>
                </c:pt>
                <c:pt idx="166">
                  <c:v>14:37</c:v>
                </c:pt>
                <c:pt idx="167">
                  <c:v>14:40</c:v>
                </c:pt>
                <c:pt idx="168">
                  <c:v>14:41</c:v>
                </c:pt>
                <c:pt idx="169">
                  <c:v>14:43</c:v>
                </c:pt>
                <c:pt idx="170">
                  <c:v>14:44</c:v>
                </c:pt>
                <c:pt idx="171">
                  <c:v>14:46</c:v>
                </c:pt>
                <c:pt idx="172">
                  <c:v>14:50</c:v>
                </c:pt>
                <c:pt idx="173">
                  <c:v>14:52</c:v>
                </c:pt>
                <c:pt idx="174">
                  <c:v>14:54</c:v>
                </c:pt>
                <c:pt idx="175">
                  <c:v>15:00</c:v>
                </c:pt>
                <c:pt idx="176">
                  <c:v>15:02</c:v>
                </c:pt>
                <c:pt idx="177">
                  <c:v>15:04</c:v>
                </c:pt>
                <c:pt idx="178">
                  <c:v>15:05</c:v>
                </c:pt>
                <c:pt idx="179">
                  <c:v>15:09</c:v>
                </c:pt>
                <c:pt idx="180">
                  <c:v>15:15</c:v>
                </c:pt>
                <c:pt idx="181">
                  <c:v>15:17</c:v>
                </c:pt>
                <c:pt idx="182">
                  <c:v>15:20</c:v>
                </c:pt>
                <c:pt idx="183">
                  <c:v>15:21</c:v>
                </c:pt>
                <c:pt idx="184">
                  <c:v>15:22</c:v>
                </c:pt>
                <c:pt idx="185">
                  <c:v>15:26</c:v>
                </c:pt>
                <c:pt idx="186">
                  <c:v>15:27</c:v>
                </c:pt>
                <c:pt idx="187">
                  <c:v>15:29</c:v>
                </c:pt>
                <c:pt idx="188">
                  <c:v>15:30</c:v>
                </c:pt>
                <c:pt idx="189">
                  <c:v>15:34</c:v>
                </c:pt>
                <c:pt idx="190">
                  <c:v>15:35</c:v>
                </c:pt>
                <c:pt idx="191">
                  <c:v>15:37</c:v>
                </c:pt>
                <c:pt idx="192">
                  <c:v>15:38</c:v>
                </c:pt>
                <c:pt idx="193">
                  <c:v>15:40</c:v>
                </c:pt>
                <c:pt idx="194">
                  <c:v>15:41</c:v>
                </c:pt>
                <c:pt idx="195">
                  <c:v>15:43</c:v>
                </c:pt>
                <c:pt idx="196">
                  <c:v>15:45</c:v>
                </c:pt>
                <c:pt idx="197">
                  <c:v>15:46</c:v>
                </c:pt>
                <c:pt idx="198">
                  <c:v>15:47</c:v>
                </c:pt>
                <c:pt idx="199">
                  <c:v>15:52</c:v>
                </c:pt>
                <c:pt idx="200">
                  <c:v>15:54</c:v>
                </c:pt>
                <c:pt idx="201">
                  <c:v>15:59</c:v>
                </c:pt>
                <c:pt idx="202">
                  <c:v>16:00</c:v>
                </c:pt>
                <c:pt idx="203">
                  <c:v>16:02</c:v>
                </c:pt>
                <c:pt idx="204">
                  <c:v>16:05</c:v>
                </c:pt>
                <c:pt idx="205">
                  <c:v>16:06</c:v>
                </c:pt>
                <c:pt idx="206">
                  <c:v>16:07</c:v>
                </c:pt>
                <c:pt idx="207">
                  <c:v>16:13</c:v>
                </c:pt>
                <c:pt idx="208">
                  <c:v>16:14</c:v>
                </c:pt>
                <c:pt idx="209">
                  <c:v>16:15</c:v>
                </c:pt>
                <c:pt idx="210">
                  <c:v>16:19</c:v>
                </c:pt>
                <c:pt idx="211">
                  <c:v>16:21</c:v>
                </c:pt>
                <c:pt idx="212">
                  <c:v>16:24</c:v>
                </c:pt>
                <c:pt idx="213">
                  <c:v>16:25</c:v>
                </c:pt>
                <c:pt idx="214">
                  <c:v>16:26</c:v>
                </c:pt>
                <c:pt idx="215">
                  <c:v>16:27</c:v>
                </c:pt>
                <c:pt idx="216">
                  <c:v>16:29</c:v>
                </c:pt>
                <c:pt idx="217">
                  <c:v>16:30</c:v>
                </c:pt>
                <c:pt idx="218">
                  <c:v>16:32</c:v>
                </c:pt>
                <c:pt idx="219">
                  <c:v>16:34</c:v>
                </c:pt>
                <c:pt idx="220">
                  <c:v>16:37</c:v>
                </c:pt>
                <c:pt idx="221">
                  <c:v>16:39</c:v>
                </c:pt>
                <c:pt idx="222">
                  <c:v>16:46</c:v>
                </c:pt>
                <c:pt idx="223">
                  <c:v>16:49</c:v>
                </c:pt>
                <c:pt idx="224">
                  <c:v>16:51</c:v>
                </c:pt>
                <c:pt idx="225">
                  <c:v>16:52</c:v>
                </c:pt>
                <c:pt idx="226">
                  <c:v>16:53</c:v>
                </c:pt>
                <c:pt idx="227">
                  <c:v>16:54</c:v>
                </c:pt>
                <c:pt idx="228">
                  <c:v>16:57</c:v>
                </c:pt>
                <c:pt idx="229">
                  <c:v>16:59</c:v>
                </c:pt>
                <c:pt idx="230">
                  <c:v>17:02</c:v>
                </c:pt>
                <c:pt idx="231">
                  <c:v>17:05</c:v>
                </c:pt>
                <c:pt idx="232">
                  <c:v>17:06</c:v>
                </c:pt>
                <c:pt idx="233">
                  <c:v>17:10</c:v>
                </c:pt>
                <c:pt idx="234">
                  <c:v>17:11</c:v>
                </c:pt>
                <c:pt idx="235">
                  <c:v>17:14</c:v>
                </c:pt>
                <c:pt idx="236">
                  <c:v>17:16</c:v>
                </c:pt>
                <c:pt idx="237">
                  <c:v>17:17</c:v>
                </c:pt>
                <c:pt idx="238">
                  <c:v>17:18</c:v>
                </c:pt>
                <c:pt idx="239">
                  <c:v>17:22</c:v>
                </c:pt>
                <c:pt idx="240">
                  <c:v>17:23</c:v>
                </c:pt>
                <c:pt idx="241">
                  <c:v>17:24</c:v>
                </c:pt>
                <c:pt idx="242">
                  <c:v>17:25</c:v>
                </c:pt>
                <c:pt idx="243">
                  <c:v>17:26</c:v>
                </c:pt>
                <c:pt idx="244">
                  <c:v>17:27</c:v>
                </c:pt>
                <c:pt idx="245">
                  <c:v>17:28</c:v>
                </c:pt>
                <c:pt idx="246">
                  <c:v>17:30</c:v>
                </c:pt>
                <c:pt idx="247">
                  <c:v>17:31</c:v>
                </c:pt>
                <c:pt idx="248">
                  <c:v>17:34</c:v>
                </c:pt>
                <c:pt idx="249">
                  <c:v>17:35</c:v>
                </c:pt>
                <c:pt idx="250">
                  <c:v>17:37</c:v>
                </c:pt>
                <c:pt idx="251">
                  <c:v>17:42</c:v>
                </c:pt>
                <c:pt idx="252">
                  <c:v>17:43</c:v>
                </c:pt>
                <c:pt idx="253">
                  <c:v>17:46</c:v>
                </c:pt>
                <c:pt idx="254">
                  <c:v>17:47</c:v>
                </c:pt>
                <c:pt idx="255">
                  <c:v>17:50</c:v>
                </c:pt>
                <c:pt idx="256">
                  <c:v>17:52</c:v>
                </c:pt>
                <c:pt idx="257">
                  <c:v>17:54</c:v>
                </c:pt>
                <c:pt idx="258">
                  <c:v>17:55</c:v>
                </c:pt>
                <c:pt idx="259">
                  <c:v>17:57</c:v>
                </c:pt>
                <c:pt idx="260">
                  <c:v>17:58</c:v>
                </c:pt>
                <c:pt idx="261">
                  <c:v>17:59</c:v>
                </c:pt>
                <c:pt idx="262">
                  <c:v>18:00</c:v>
                </c:pt>
                <c:pt idx="263">
                  <c:v>18:01</c:v>
                </c:pt>
                <c:pt idx="264">
                  <c:v>18:03</c:v>
                </c:pt>
                <c:pt idx="265">
                  <c:v>18:05</c:v>
                </c:pt>
                <c:pt idx="266">
                  <c:v>18:07</c:v>
                </c:pt>
                <c:pt idx="267">
                  <c:v>18:08</c:v>
                </c:pt>
                <c:pt idx="268">
                  <c:v>18:09</c:v>
                </c:pt>
                <c:pt idx="269">
                  <c:v>18:11</c:v>
                </c:pt>
                <c:pt idx="270">
                  <c:v>18:12</c:v>
                </c:pt>
                <c:pt idx="271">
                  <c:v>18:13</c:v>
                </c:pt>
                <c:pt idx="272">
                  <c:v>18:22</c:v>
                </c:pt>
                <c:pt idx="273">
                  <c:v>18:23</c:v>
                </c:pt>
                <c:pt idx="274">
                  <c:v>18:33</c:v>
                </c:pt>
                <c:pt idx="275">
                  <c:v>18:36</c:v>
                </c:pt>
                <c:pt idx="276">
                  <c:v>18:37</c:v>
                </c:pt>
                <c:pt idx="277">
                  <c:v>18:38</c:v>
                </c:pt>
                <c:pt idx="278">
                  <c:v>18:39</c:v>
                </c:pt>
                <c:pt idx="279">
                  <c:v>18:41</c:v>
                </c:pt>
                <c:pt idx="280">
                  <c:v>18:42</c:v>
                </c:pt>
                <c:pt idx="281">
                  <c:v>18:48</c:v>
                </c:pt>
                <c:pt idx="282">
                  <c:v>18:50</c:v>
                </c:pt>
                <c:pt idx="283">
                  <c:v>18:53</c:v>
                </c:pt>
                <c:pt idx="284">
                  <c:v>18:56</c:v>
                </c:pt>
                <c:pt idx="285">
                  <c:v>18:58</c:v>
                </c:pt>
                <c:pt idx="286">
                  <c:v>19:00</c:v>
                </c:pt>
                <c:pt idx="287">
                  <c:v>19:02</c:v>
                </c:pt>
                <c:pt idx="288">
                  <c:v>19:03</c:v>
                </c:pt>
                <c:pt idx="289">
                  <c:v>19:04</c:v>
                </c:pt>
                <c:pt idx="290">
                  <c:v>19:05</c:v>
                </c:pt>
                <c:pt idx="291">
                  <c:v>19:07</c:v>
                </c:pt>
                <c:pt idx="292">
                  <c:v>19:09</c:v>
                </c:pt>
                <c:pt idx="293">
                  <c:v>19:11</c:v>
                </c:pt>
                <c:pt idx="294">
                  <c:v>19:12</c:v>
                </c:pt>
                <c:pt idx="295">
                  <c:v>19:13</c:v>
                </c:pt>
                <c:pt idx="296">
                  <c:v>19:14</c:v>
                </c:pt>
                <c:pt idx="297">
                  <c:v>19:18</c:v>
                </c:pt>
                <c:pt idx="298">
                  <c:v>19:19</c:v>
                </c:pt>
                <c:pt idx="299">
                  <c:v>19:20</c:v>
                </c:pt>
                <c:pt idx="300">
                  <c:v>19:22</c:v>
                </c:pt>
                <c:pt idx="301">
                  <c:v>19:26</c:v>
                </c:pt>
                <c:pt idx="302">
                  <c:v>19:27</c:v>
                </c:pt>
                <c:pt idx="303">
                  <c:v>19:28</c:v>
                </c:pt>
                <c:pt idx="304">
                  <c:v>19:29</c:v>
                </c:pt>
                <c:pt idx="305">
                  <c:v>19:31</c:v>
                </c:pt>
                <c:pt idx="306">
                  <c:v>19:32</c:v>
                </c:pt>
                <c:pt idx="307">
                  <c:v>19:36</c:v>
                </c:pt>
                <c:pt idx="308">
                  <c:v>19:41</c:v>
                </c:pt>
                <c:pt idx="309">
                  <c:v>19:44</c:v>
                </c:pt>
                <c:pt idx="310">
                  <c:v>19:45</c:v>
                </c:pt>
                <c:pt idx="311">
                  <c:v>19:48</c:v>
                </c:pt>
                <c:pt idx="312">
                  <c:v>19:49</c:v>
                </c:pt>
                <c:pt idx="313">
                  <c:v>19:54</c:v>
                </c:pt>
                <c:pt idx="314">
                  <c:v>19:56</c:v>
                </c:pt>
                <c:pt idx="315">
                  <c:v>19:59</c:v>
                </c:pt>
                <c:pt idx="316">
                  <c:v>20:02</c:v>
                </c:pt>
                <c:pt idx="317">
                  <c:v>20:03</c:v>
                </c:pt>
                <c:pt idx="318">
                  <c:v>20:04</c:v>
                </c:pt>
                <c:pt idx="319">
                  <c:v>20:05</c:v>
                </c:pt>
                <c:pt idx="320">
                  <c:v>20:10</c:v>
                </c:pt>
                <c:pt idx="321">
                  <c:v>20:14</c:v>
                </c:pt>
                <c:pt idx="322">
                  <c:v>20:16</c:v>
                </c:pt>
                <c:pt idx="323">
                  <c:v>20:17</c:v>
                </c:pt>
                <c:pt idx="324">
                  <c:v>20:27</c:v>
                </c:pt>
                <c:pt idx="325">
                  <c:v>20:32</c:v>
                </c:pt>
                <c:pt idx="326">
                  <c:v>20:34</c:v>
                </c:pt>
                <c:pt idx="327">
                  <c:v>20:35</c:v>
                </c:pt>
                <c:pt idx="328">
                  <c:v>20:39</c:v>
                </c:pt>
                <c:pt idx="329">
                  <c:v>20:41</c:v>
                </c:pt>
                <c:pt idx="330">
                  <c:v>20:46</c:v>
                </c:pt>
                <c:pt idx="331">
                  <c:v>20:49</c:v>
                </c:pt>
                <c:pt idx="332">
                  <c:v>20:56</c:v>
                </c:pt>
                <c:pt idx="333">
                  <c:v>21:00</c:v>
                </c:pt>
                <c:pt idx="334">
                  <c:v>21:01</c:v>
                </c:pt>
                <c:pt idx="335">
                  <c:v>21:06</c:v>
                </c:pt>
                <c:pt idx="336">
                  <c:v>21:12</c:v>
                </c:pt>
                <c:pt idx="337">
                  <c:v>21:16</c:v>
                </c:pt>
                <c:pt idx="338">
                  <c:v>21:20</c:v>
                </c:pt>
                <c:pt idx="339">
                  <c:v>21:21</c:v>
                </c:pt>
                <c:pt idx="340">
                  <c:v>21:22</c:v>
                </c:pt>
                <c:pt idx="341">
                  <c:v>21:33</c:v>
                </c:pt>
                <c:pt idx="342">
                  <c:v>21:37</c:v>
                </c:pt>
                <c:pt idx="343">
                  <c:v>21:45</c:v>
                </c:pt>
                <c:pt idx="344">
                  <c:v>22:00</c:v>
                </c:pt>
                <c:pt idx="345">
                  <c:v>22:05</c:v>
                </c:pt>
                <c:pt idx="346">
                  <c:v>22:06</c:v>
                </c:pt>
                <c:pt idx="347">
                  <c:v>22:10</c:v>
                </c:pt>
                <c:pt idx="348">
                  <c:v>22:11</c:v>
                </c:pt>
                <c:pt idx="349">
                  <c:v>22:16</c:v>
                </c:pt>
                <c:pt idx="350">
                  <c:v>22:18</c:v>
                </c:pt>
                <c:pt idx="351">
                  <c:v>22:36</c:v>
                </c:pt>
                <c:pt idx="352">
                  <c:v>22:39</c:v>
                </c:pt>
                <c:pt idx="353">
                  <c:v>22:46</c:v>
                </c:pt>
                <c:pt idx="354">
                  <c:v>22:54</c:v>
                </c:pt>
                <c:pt idx="355">
                  <c:v>23:04</c:v>
                </c:pt>
                <c:pt idx="356">
                  <c:v>23:08</c:v>
                </c:pt>
                <c:pt idx="357">
                  <c:v>23:26</c:v>
                </c:pt>
                <c:pt idx="358">
                  <c:v>23:28</c:v>
                </c:pt>
                <c:pt idx="359">
                  <c:v>23:29</c:v>
                </c:pt>
                <c:pt idx="360">
                  <c:v>23:44</c:v>
                </c:pt>
                <c:pt idx="361">
                  <c:v>23:53</c:v>
                </c:pt>
                <c:pt idx="362">
                  <c:v>23:58</c:v>
                </c:pt>
              </c:strCache>
            </c:strRef>
          </c:cat>
          <c:val>
            <c:numRef>
              <c:f>Análisis!$R$82:$R$444</c:f>
              <c:numCache>
                <c:formatCode>General</c:formatCode>
                <c:ptCount val="363"/>
                <c:pt idx="0">
                  <c:v>41982</c:v>
                </c:pt>
                <c:pt idx="1">
                  <c:v>5970</c:v>
                </c:pt>
                <c:pt idx="2">
                  <c:v>47500</c:v>
                </c:pt>
                <c:pt idx="3">
                  <c:v>1178</c:v>
                </c:pt>
                <c:pt idx="4">
                  <c:v>22552</c:v>
                </c:pt>
                <c:pt idx="5">
                  <c:v>47988</c:v>
                </c:pt>
                <c:pt idx="6">
                  <c:v>500</c:v>
                </c:pt>
                <c:pt idx="7">
                  <c:v>10670</c:v>
                </c:pt>
                <c:pt idx="8">
                  <c:v>2926</c:v>
                </c:pt>
                <c:pt idx="9">
                  <c:v>10317</c:v>
                </c:pt>
                <c:pt idx="10">
                  <c:v>82</c:v>
                </c:pt>
                <c:pt idx="11">
                  <c:v>500</c:v>
                </c:pt>
                <c:pt idx="12">
                  <c:v>5519</c:v>
                </c:pt>
                <c:pt idx="13">
                  <c:v>11169</c:v>
                </c:pt>
                <c:pt idx="14">
                  <c:v>4377</c:v>
                </c:pt>
                <c:pt idx="15">
                  <c:v>1850</c:v>
                </c:pt>
                <c:pt idx="16">
                  <c:v>5031</c:v>
                </c:pt>
                <c:pt idx="17">
                  <c:v>12257</c:v>
                </c:pt>
                <c:pt idx="18">
                  <c:v>64276</c:v>
                </c:pt>
                <c:pt idx="19">
                  <c:v>15870</c:v>
                </c:pt>
                <c:pt idx="20">
                  <c:v>502</c:v>
                </c:pt>
                <c:pt idx="21">
                  <c:v>16848</c:v>
                </c:pt>
                <c:pt idx="22">
                  <c:v>1144</c:v>
                </c:pt>
                <c:pt idx="23">
                  <c:v>7967</c:v>
                </c:pt>
                <c:pt idx="24">
                  <c:v>6724</c:v>
                </c:pt>
                <c:pt idx="25">
                  <c:v>1256</c:v>
                </c:pt>
                <c:pt idx="26">
                  <c:v>10642</c:v>
                </c:pt>
                <c:pt idx="27">
                  <c:v>80</c:v>
                </c:pt>
                <c:pt idx="28">
                  <c:v>2285</c:v>
                </c:pt>
                <c:pt idx="29">
                  <c:v>2775</c:v>
                </c:pt>
                <c:pt idx="30">
                  <c:v>500</c:v>
                </c:pt>
                <c:pt idx="31">
                  <c:v>5000</c:v>
                </c:pt>
                <c:pt idx="32">
                  <c:v>3</c:v>
                </c:pt>
                <c:pt idx="33">
                  <c:v>69956</c:v>
                </c:pt>
                <c:pt idx="34">
                  <c:v>2968</c:v>
                </c:pt>
                <c:pt idx="35">
                  <c:v>24827</c:v>
                </c:pt>
                <c:pt idx="36">
                  <c:v>500</c:v>
                </c:pt>
                <c:pt idx="37">
                  <c:v>34734</c:v>
                </c:pt>
                <c:pt idx="38">
                  <c:v>1195</c:v>
                </c:pt>
                <c:pt idx="39">
                  <c:v>44416</c:v>
                </c:pt>
                <c:pt idx="40">
                  <c:v>250</c:v>
                </c:pt>
                <c:pt idx="41">
                  <c:v>11021</c:v>
                </c:pt>
                <c:pt idx="42">
                  <c:v>1628</c:v>
                </c:pt>
                <c:pt idx="43">
                  <c:v>4985</c:v>
                </c:pt>
                <c:pt idx="44">
                  <c:v>7612</c:v>
                </c:pt>
                <c:pt idx="45">
                  <c:v>60211</c:v>
                </c:pt>
                <c:pt idx="46">
                  <c:v>42883</c:v>
                </c:pt>
                <c:pt idx="47">
                  <c:v>500</c:v>
                </c:pt>
                <c:pt idx="48">
                  <c:v>46038</c:v>
                </c:pt>
                <c:pt idx="49">
                  <c:v>1702</c:v>
                </c:pt>
                <c:pt idx="50">
                  <c:v>5746</c:v>
                </c:pt>
                <c:pt idx="51">
                  <c:v>11128</c:v>
                </c:pt>
                <c:pt idx="52">
                  <c:v>5000</c:v>
                </c:pt>
                <c:pt idx="53">
                  <c:v>15816</c:v>
                </c:pt>
                <c:pt idx="54">
                  <c:v>77002</c:v>
                </c:pt>
                <c:pt idx="55">
                  <c:v>649560</c:v>
                </c:pt>
                <c:pt idx="56">
                  <c:v>47772</c:v>
                </c:pt>
                <c:pt idx="57">
                  <c:v>113056</c:v>
                </c:pt>
                <c:pt idx="58">
                  <c:v>259092</c:v>
                </c:pt>
                <c:pt idx="59">
                  <c:v>209324</c:v>
                </c:pt>
                <c:pt idx="60">
                  <c:v>87508</c:v>
                </c:pt>
                <c:pt idx="61">
                  <c:v>115221</c:v>
                </c:pt>
                <c:pt idx="62">
                  <c:v>11540</c:v>
                </c:pt>
                <c:pt idx="63">
                  <c:v>5307</c:v>
                </c:pt>
                <c:pt idx="64">
                  <c:v>4648</c:v>
                </c:pt>
                <c:pt idx="65">
                  <c:v>21548</c:v>
                </c:pt>
                <c:pt idx="66">
                  <c:v>500</c:v>
                </c:pt>
                <c:pt idx="67">
                  <c:v>5000</c:v>
                </c:pt>
                <c:pt idx="68">
                  <c:v>2035</c:v>
                </c:pt>
                <c:pt idx="69">
                  <c:v>4044</c:v>
                </c:pt>
                <c:pt idx="70">
                  <c:v>8917</c:v>
                </c:pt>
                <c:pt idx="71">
                  <c:v>1007</c:v>
                </c:pt>
                <c:pt idx="72">
                  <c:v>1500</c:v>
                </c:pt>
                <c:pt idx="73">
                  <c:v>2500</c:v>
                </c:pt>
                <c:pt idx="74">
                  <c:v>8429</c:v>
                </c:pt>
                <c:pt idx="75">
                  <c:v>33215</c:v>
                </c:pt>
                <c:pt idx="76">
                  <c:v>831094</c:v>
                </c:pt>
                <c:pt idx="77">
                  <c:v>142692</c:v>
                </c:pt>
                <c:pt idx="78">
                  <c:v>24168</c:v>
                </c:pt>
                <c:pt idx="79">
                  <c:v>69520</c:v>
                </c:pt>
                <c:pt idx="80">
                  <c:v>500</c:v>
                </c:pt>
                <c:pt idx="81">
                  <c:v>15032</c:v>
                </c:pt>
                <c:pt idx="82">
                  <c:v>1000</c:v>
                </c:pt>
                <c:pt idx="83">
                  <c:v>114651</c:v>
                </c:pt>
                <c:pt idx="84">
                  <c:v>5700</c:v>
                </c:pt>
                <c:pt idx="85">
                  <c:v>500</c:v>
                </c:pt>
                <c:pt idx="86">
                  <c:v>8161</c:v>
                </c:pt>
                <c:pt idx="87">
                  <c:v>195192</c:v>
                </c:pt>
                <c:pt idx="88">
                  <c:v>40810</c:v>
                </c:pt>
                <c:pt idx="89">
                  <c:v>5000</c:v>
                </c:pt>
                <c:pt idx="90">
                  <c:v>500</c:v>
                </c:pt>
                <c:pt idx="91">
                  <c:v>6664</c:v>
                </c:pt>
                <c:pt idx="92">
                  <c:v>170052</c:v>
                </c:pt>
                <c:pt idx="93">
                  <c:v>250</c:v>
                </c:pt>
                <c:pt idx="94">
                  <c:v>60968</c:v>
                </c:pt>
                <c:pt idx="95">
                  <c:v>84086</c:v>
                </c:pt>
                <c:pt idx="96">
                  <c:v>146240</c:v>
                </c:pt>
                <c:pt idx="97">
                  <c:v>410</c:v>
                </c:pt>
                <c:pt idx="98">
                  <c:v>525</c:v>
                </c:pt>
                <c:pt idx="99">
                  <c:v>34291</c:v>
                </c:pt>
                <c:pt idx="100">
                  <c:v>105949</c:v>
                </c:pt>
                <c:pt idx="101">
                  <c:v>19082</c:v>
                </c:pt>
                <c:pt idx="102">
                  <c:v>28130</c:v>
                </c:pt>
                <c:pt idx="103">
                  <c:v>8749</c:v>
                </c:pt>
                <c:pt idx="104">
                  <c:v>5000</c:v>
                </c:pt>
                <c:pt idx="105">
                  <c:v>72092</c:v>
                </c:pt>
                <c:pt idx="106">
                  <c:v>52038</c:v>
                </c:pt>
                <c:pt idx="107">
                  <c:v>10001</c:v>
                </c:pt>
                <c:pt idx="108">
                  <c:v>730</c:v>
                </c:pt>
                <c:pt idx="109">
                  <c:v>28191</c:v>
                </c:pt>
                <c:pt idx="110">
                  <c:v>34866</c:v>
                </c:pt>
                <c:pt idx="111">
                  <c:v>7582</c:v>
                </c:pt>
                <c:pt idx="112">
                  <c:v>500</c:v>
                </c:pt>
                <c:pt idx="113">
                  <c:v>10337</c:v>
                </c:pt>
                <c:pt idx="114">
                  <c:v>500</c:v>
                </c:pt>
                <c:pt idx="115">
                  <c:v>52686</c:v>
                </c:pt>
                <c:pt idx="116">
                  <c:v>500</c:v>
                </c:pt>
                <c:pt idx="117">
                  <c:v>5000</c:v>
                </c:pt>
                <c:pt idx="118">
                  <c:v>46258</c:v>
                </c:pt>
                <c:pt idx="119">
                  <c:v>5000</c:v>
                </c:pt>
                <c:pt idx="120">
                  <c:v>8086</c:v>
                </c:pt>
                <c:pt idx="121">
                  <c:v>5000</c:v>
                </c:pt>
                <c:pt idx="122">
                  <c:v>5500</c:v>
                </c:pt>
                <c:pt idx="123">
                  <c:v>88178</c:v>
                </c:pt>
                <c:pt idx="124">
                  <c:v>500</c:v>
                </c:pt>
                <c:pt idx="125">
                  <c:v>35654</c:v>
                </c:pt>
                <c:pt idx="126">
                  <c:v>23452</c:v>
                </c:pt>
                <c:pt idx="127">
                  <c:v>43784</c:v>
                </c:pt>
                <c:pt idx="128">
                  <c:v>21182</c:v>
                </c:pt>
                <c:pt idx="129">
                  <c:v>28180</c:v>
                </c:pt>
                <c:pt idx="130">
                  <c:v>5726</c:v>
                </c:pt>
                <c:pt idx="131">
                  <c:v>226394</c:v>
                </c:pt>
                <c:pt idx="132">
                  <c:v>46410</c:v>
                </c:pt>
                <c:pt idx="133">
                  <c:v>250</c:v>
                </c:pt>
                <c:pt idx="134">
                  <c:v>77345</c:v>
                </c:pt>
                <c:pt idx="135">
                  <c:v>1105</c:v>
                </c:pt>
                <c:pt idx="136">
                  <c:v>116726</c:v>
                </c:pt>
                <c:pt idx="137">
                  <c:v>5450</c:v>
                </c:pt>
                <c:pt idx="138">
                  <c:v>5000</c:v>
                </c:pt>
                <c:pt idx="139">
                  <c:v>20208</c:v>
                </c:pt>
                <c:pt idx="140">
                  <c:v>1000</c:v>
                </c:pt>
                <c:pt idx="141">
                  <c:v>4250</c:v>
                </c:pt>
                <c:pt idx="142">
                  <c:v>500</c:v>
                </c:pt>
                <c:pt idx="143">
                  <c:v>1362</c:v>
                </c:pt>
                <c:pt idx="144">
                  <c:v>17399</c:v>
                </c:pt>
                <c:pt idx="145">
                  <c:v>7731</c:v>
                </c:pt>
                <c:pt idx="146">
                  <c:v>50000</c:v>
                </c:pt>
                <c:pt idx="147">
                  <c:v>3993</c:v>
                </c:pt>
                <c:pt idx="148">
                  <c:v>11971</c:v>
                </c:pt>
                <c:pt idx="149">
                  <c:v>25502</c:v>
                </c:pt>
                <c:pt idx="150">
                  <c:v>18397</c:v>
                </c:pt>
                <c:pt idx="151">
                  <c:v>7975</c:v>
                </c:pt>
                <c:pt idx="152">
                  <c:v>54678</c:v>
                </c:pt>
                <c:pt idx="153">
                  <c:v>60</c:v>
                </c:pt>
                <c:pt idx="154">
                  <c:v>8396</c:v>
                </c:pt>
                <c:pt idx="155">
                  <c:v>33824</c:v>
                </c:pt>
                <c:pt idx="156">
                  <c:v>500</c:v>
                </c:pt>
                <c:pt idx="157">
                  <c:v>4400</c:v>
                </c:pt>
                <c:pt idx="158">
                  <c:v>976</c:v>
                </c:pt>
                <c:pt idx="159">
                  <c:v>755</c:v>
                </c:pt>
                <c:pt idx="160">
                  <c:v>45066</c:v>
                </c:pt>
                <c:pt idx="161">
                  <c:v>53468</c:v>
                </c:pt>
                <c:pt idx="162">
                  <c:v>25598</c:v>
                </c:pt>
                <c:pt idx="163">
                  <c:v>174394</c:v>
                </c:pt>
                <c:pt idx="164">
                  <c:v>500</c:v>
                </c:pt>
                <c:pt idx="165">
                  <c:v>45109</c:v>
                </c:pt>
                <c:pt idx="166">
                  <c:v>3206</c:v>
                </c:pt>
                <c:pt idx="167">
                  <c:v>2150</c:v>
                </c:pt>
                <c:pt idx="168">
                  <c:v>4000</c:v>
                </c:pt>
                <c:pt idx="169">
                  <c:v>5000</c:v>
                </c:pt>
                <c:pt idx="170">
                  <c:v>42605</c:v>
                </c:pt>
                <c:pt idx="171">
                  <c:v>500</c:v>
                </c:pt>
                <c:pt idx="172">
                  <c:v>4120</c:v>
                </c:pt>
                <c:pt idx="173">
                  <c:v>75949</c:v>
                </c:pt>
                <c:pt idx="174">
                  <c:v>14713</c:v>
                </c:pt>
                <c:pt idx="175">
                  <c:v>455</c:v>
                </c:pt>
                <c:pt idx="176">
                  <c:v>48091</c:v>
                </c:pt>
                <c:pt idx="177">
                  <c:v>315494</c:v>
                </c:pt>
                <c:pt idx="178">
                  <c:v>53734</c:v>
                </c:pt>
                <c:pt idx="179">
                  <c:v>533</c:v>
                </c:pt>
                <c:pt idx="180">
                  <c:v>6326</c:v>
                </c:pt>
                <c:pt idx="181">
                  <c:v>5500</c:v>
                </c:pt>
                <c:pt idx="182">
                  <c:v>17179</c:v>
                </c:pt>
                <c:pt idx="183">
                  <c:v>52049</c:v>
                </c:pt>
                <c:pt idx="184">
                  <c:v>23442</c:v>
                </c:pt>
                <c:pt idx="185">
                  <c:v>100</c:v>
                </c:pt>
                <c:pt idx="186">
                  <c:v>71768</c:v>
                </c:pt>
                <c:pt idx="187">
                  <c:v>121198</c:v>
                </c:pt>
                <c:pt idx="188">
                  <c:v>613314</c:v>
                </c:pt>
                <c:pt idx="189">
                  <c:v>8755</c:v>
                </c:pt>
                <c:pt idx="190">
                  <c:v>9900</c:v>
                </c:pt>
                <c:pt idx="191">
                  <c:v>54835</c:v>
                </c:pt>
                <c:pt idx="192">
                  <c:v>73254</c:v>
                </c:pt>
                <c:pt idx="193">
                  <c:v>2130</c:v>
                </c:pt>
                <c:pt idx="194">
                  <c:v>862</c:v>
                </c:pt>
                <c:pt idx="195">
                  <c:v>100</c:v>
                </c:pt>
                <c:pt idx="196">
                  <c:v>8010</c:v>
                </c:pt>
                <c:pt idx="197">
                  <c:v>200</c:v>
                </c:pt>
                <c:pt idx="198">
                  <c:v>20266</c:v>
                </c:pt>
                <c:pt idx="199">
                  <c:v>4047</c:v>
                </c:pt>
                <c:pt idx="200">
                  <c:v>5000</c:v>
                </c:pt>
                <c:pt idx="201">
                  <c:v>158424</c:v>
                </c:pt>
                <c:pt idx="202">
                  <c:v>64136</c:v>
                </c:pt>
                <c:pt idx="203">
                  <c:v>132364</c:v>
                </c:pt>
                <c:pt idx="204">
                  <c:v>13426</c:v>
                </c:pt>
                <c:pt idx="205">
                  <c:v>1500</c:v>
                </c:pt>
                <c:pt idx="206">
                  <c:v>500</c:v>
                </c:pt>
                <c:pt idx="207">
                  <c:v>7552</c:v>
                </c:pt>
                <c:pt idx="208">
                  <c:v>47786</c:v>
                </c:pt>
                <c:pt idx="209">
                  <c:v>60610</c:v>
                </c:pt>
                <c:pt idx="210">
                  <c:v>89992</c:v>
                </c:pt>
                <c:pt idx="211">
                  <c:v>3789</c:v>
                </c:pt>
                <c:pt idx="212">
                  <c:v>24198</c:v>
                </c:pt>
                <c:pt idx="213">
                  <c:v>7500</c:v>
                </c:pt>
                <c:pt idx="214">
                  <c:v>1000</c:v>
                </c:pt>
                <c:pt idx="215">
                  <c:v>54118</c:v>
                </c:pt>
                <c:pt idx="216">
                  <c:v>185822</c:v>
                </c:pt>
                <c:pt idx="217">
                  <c:v>500</c:v>
                </c:pt>
                <c:pt idx="218">
                  <c:v>52663</c:v>
                </c:pt>
                <c:pt idx="219">
                  <c:v>22239</c:v>
                </c:pt>
                <c:pt idx="220">
                  <c:v>6543</c:v>
                </c:pt>
                <c:pt idx="221">
                  <c:v>3242</c:v>
                </c:pt>
                <c:pt idx="222">
                  <c:v>500</c:v>
                </c:pt>
                <c:pt idx="223">
                  <c:v>247213</c:v>
                </c:pt>
                <c:pt idx="224">
                  <c:v>179198</c:v>
                </c:pt>
                <c:pt idx="225">
                  <c:v>164335</c:v>
                </c:pt>
                <c:pt idx="226">
                  <c:v>95750</c:v>
                </c:pt>
                <c:pt idx="227">
                  <c:v>58500</c:v>
                </c:pt>
                <c:pt idx="228">
                  <c:v>70230</c:v>
                </c:pt>
                <c:pt idx="229">
                  <c:v>83672</c:v>
                </c:pt>
                <c:pt idx="230">
                  <c:v>500</c:v>
                </c:pt>
                <c:pt idx="231">
                  <c:v>58772</c:v>
                </c:pt>
                <c:pt idx="232">
                  <c:v>500</c:v>
                </c:pt>
                <c:pt idx="233">
                  <c:v>520</c:v>
                </c:pt>
                <c:pt idx="234">
                  <c:v>285922</c:v>
                </c:pt>
                <c:pt idx="235">
                  <c:v>29809</c:v>
                </c:pt>
                <c:pt idx="236">
                  <c:v>4865</c:v>
                </c:pt>
                <c:pt idx="237">
                  <c:v>83880</c:v>
                </c:pt>
                <c:pt idx="238">
                  <c:v>248446</c:v>
                </c:pt>
                <c:pt idx="239">
                  <c:v>110275</c:v>
                </c:pt>
                <c:pt idx="240">
                  <c:v>50000</c:v>
                </c:pt>
                <c:pt idx="241">
                  <c:v>7432</c:v>
                </c:pt>
                <c:pt idx="242">
                  <c:v>1075</c:v>
                </c:pt>
                <c:pt idx="243">
                  <c:v>5000</c:v>
                </c:pt>
                <c:pt idx="244">
                  <c:v>58558</c:v>
                </c:pt>
                <c:pt idx="245">
                  <c:v>4973</c:v>
                </c:pt>
                <c:pt idx="246">
                  <c:v>24663</c:v>
                </c:pt>
                <c:pt idx="247">
                  <c:v>29546</c:v>
                </c:pt>
                <c:pt idx="248">
                  <c:v>1178</c:v>
                </c:pt>
                <c:pt idx="249">
                  <c:v>78260</c:v>
                </c:pt>
                <c:pt idx="250">
                  <c:v>24390</c:v>
                </c:pt>
                <c:pt idx="251">
                  <c:v>718</c:v>
                </c:pt>
                <c:pt idx="252">
                  <c:v>22744</c:v>
                </c:pt>
                <c:pt idx="253">
                  <c:v>1450</c:v>
                </c:pt>
                <c:pt idx="254">
                  <c:v>5000</c:v>
                </c:pt>
                <c:pt idx="255">
                  <c:v>253418</c:v>
                </c:pt>
                <c:pt idx="256">
                  <c:v>4501</c:v>
                </c:pt>
                <c:pt idx="257">
                  <c:v>53104</c:v>
                </c:pt>
                <c:pt idx="258">
                  <c:v>4500</c:v>
                </c:pt>
                <c:pt idx="259">
                  <c:v>12803</c:v>
                </c:pt>
                <c:pt idx="260">
                  <c:v>12891</c:v>
                </c:pt>
                <c:pt idx="261">
                  <c:v>1380</c:v>
                </c:pt>
                <c:pt idx="262">
                  <c:v>14615</c:v>
                </c:pt>
                <c:pt idx="263">
                  <c:v>40748</c:v>
                </c:pt>
                <c:pt idx="264">
                  <c:v>17164</c:v>
                </c:pt>
                <c:pt idx="265">
                  <c:v>56816</c:v>
                </c:pt>
                <c:pt idx="266">
                  <c:v>11195</c:v>
                </c:pt>
                <c:pt idx="267">
                  <c:v>28265</c:v>
                </c:pt>
                <c:pt idx="268">
                  <c:v>1450</c:v>
                </c:pt>
                <c:pt idx="269">
                  <c:v>2396</c:v>
                </c:pt>
                <c:pt idx="270">
                  <c:v>36127</c:v>
                </c:pt>
                <c:pt idx="271">
                  <c:v>43908</c:v>
                </c:pt>
                <c:pt idx="272">
                  <c:v>1516</c:v>
                </c:pt>
                <c:pt idx="273">
                  <c:v>500</c:v>
                </c:pt>
                <c:pt idx="274">
                  <c:v>89824</c:v>
                </c:pt>
                <c:pt idx="275">
                  <c:v>32359</c:v>
                </c:pt>
                <c:pt idx="276">
                  <c:v>20545</c:v>
                </c:pt>
                <c:pt idx="277">
                  <c:v>20480</c:v>
                </c:pt>
                <c:pt idx="278">
                  <c:v>19641</c:v>
                </c:pt>
                <c:pt idx="279">
                  <c:v>22352</c:v>
                </c:pt>
                <c:pt idx="280">
                  <c:v>24466</c:v>
                </c:pt>
                <c:pt idx="281">
                  <c:v>155121</c:v>
                </c:pt>
                <c:pt idx="282">
                  <c:v>5000</c:v>
                </c:pt>
                <c:pt idx="283">
                  <c:v>16630</c:v>
                </c:pt>
                <c:pt idx="284">
                  <c:v>3184</c:v>
                </c:pt>
                <c:pt idx="285">
                  <c:v>4474</c:v>
                </c:pt>
                <c:pt idx="286">
                  <c:v>15284</c:v>
                </c:pt>
                <c:pt idx="287">
                  <c:v>225125</c:v>
                </c:pt>
                <c:pt idx="288">
                  <c:v>349386</c:v>
                </c:pt>
                <c:pt idx="289">
                  <c:v>23857</c:v>
                </c:pt>
                <c:pt idx="290">
                  <c:v>565</c:v>
                </c:pt>
                <c:pt idx="291">
                  <c:v>500</c:v>
                </c:pt>
                <c:pt idx="292">
                  <c:v>100</c:v>
                </c:pt>
                <c:pt idx="293">
                  <c:v>10105</c:v>
                </c:pt>
                <c:pt idx="294">
                  <c:v>63224</c:v>
                </c:pt>
                <c:pt idx="295">
                  <c:v>8551</c:v>
                </c:pt>
                <c:pt idx="296">
                  <c:v>5000</c:v>
                </c:pt>
                <c:pt idx="297">
                  <c:v>4402</c:v>
                </c:pt>
                <c:pt idx="298">
                  <c:v>200</c:v>
                </c:pt>
                <c:pt idx="299">
                  <c:v>6338</c:v>
                </c:pt>
                <c:pt idx="300">
                  <c:v>5716</c:v>
                </c:pt>
                <c:pt idx="301">
                  <c:v>1556</c:v>
                </c:pt>
                <c:pt idx="302">
                  <c:v>500</c:v>
                </c:pt>
                <c:pt idx="303">
                  <c:v>10074</c:v>
                </c:pt>
                <c:pt idx="304">
                  <c:v>4755</c:v>
                </c:pt>
                <c:pt idx="305">
                  <c:v>20988</c:v>
                </c:pt>
                <c:pt idx="306">
                  <c:v>1905</c:v>
                </c:pt>
                <c:pt idx="307">
                  <c:v>116906</c:v>
                </c:pt>
                <c:pt idx="308">
                  <c:v>5000</c:v>
                </c:pt>
                <c:pt idx="309">
                  <c:v>5000</c:v>
                </c:pt>
                <c:pt idx="310">
                  <c:v>14108</c:v>
                </c:pt>
                <c:pt idx="311">
                  <c:v>250</c:v>
                </c:pt>
                <c:pt idx="312">
                  <c:v>4750</c:v>
                </c:pt>
                <c:pt idx="313">
                  <c:v>1000</c:v>
                </c:pt>
                <c:pt idx="314">
                  <c:v>1105</c:v>
                </c:pt>
                <c:pt idx="315">
                  <c:v>500</c:v>
                </c:pt>
                <c:pt idx="316">
                  <c:v>27868</c:v>
                </c:pt>
                <c:pt idx="317">
                  <c:v>8497</c:v>
                </c:pt>
                <c:pt idx="318">
                  <c:v>244784</c:v>
                </c:pt>
                <c:pt idx="319">
                  <c:v>106529</c:v>
                </c:pt>
                <c:pt idx="320">
                  <c:v>21023</c:v>
                </c:pt>
                <c:pt idx="321">
                  <c:v>5250</c:v>
                </c:pt>
                <c:pt idx="322">
                  <c:v>1004</c:v>
                </c:pt>
                <c:pt idx="323">
                  <c:v>6767</c:v>
                </c:pt>
                <c:pt idx="324">
                  <c:v>61453</c:v>
                </c:pt>
                <c:pt idx="325">
                  <c:v>66453</c:v>
                </c:pt>
                <c:pt idx="326">
                  <c:v>25614</c:v>
                </c:pt>
                <c:pt idx="327">
                  <c:v>331</c:v>
                </c:pt>
                <c:pt idx="328">
                  <c:v>22230</c:v>
                </c:pt>
                <c:pt idx="329">
                  <c:v>13313</c:v>
                </c:pt>
                <c:pt idx="330">
                  <c:v>2047</c:v>
                </c:pt>
                <c:pt idx="331">
                  <c:v>2745</c:v>
                </c:pt>
                <c:pt idx="332">
                  <c:v>5569</c:v>
                </c:pt>
                <c:pt idx="333">
                  <c:v>368</c:v>
                </c:pt>
                <c:pt idx="334">
                  <c:v>14715</c:v>
                </c:pt>
                <c:pt idx="335">
                  <c:v>3637</c:v>
                </c:pt>
                <c:pt idx="336">
                  <c:v>243</c:v>
                </c:pt>
                <c:pt idx="337">
                  <c:v>54820</c:v>
                </c:pt>
                <c:pt idx="338">
                  <c:v>3329</c:v>
                </c:pt>
                <c:pt idx="339">
                  <c:v>5650</c:v>
                </c:pt>
                <c:pt idx="340">
                  <c:v>4786</c:v>
                </c:pt>
                <c:pt idx="341">
                  <c:v>163</c:v>
                </c:pt>
                <c:pt idx="342">
                  <c:v>600</c:v>
                </c:pt>
                <c:pt idx="343">
                  <c:v>500</c:v>
                </c:pt>
                <c:pt idx="344">
                  <c:v>2322</c:v>
                </c:pt>
                <c:pt idx="345">
                  <c:v>19110</c:v>
                </c:pt>
                <c:pt idx="346">
                  <c:v>27588</c:v>
                </c:pt>
                <c:pt idx="347">
                  <c:v>29747</c:v>
                </c:pt>
                <c:pt idx="348">
                  <c:v>5150</c:v>
                </c:pt>
                <c:pt idx="349">
                  <c:v>25758</c:v>
                </c:pt>
                <c:pt idx="350">
                  <c:v>3750</c:v>
                </c:pt>
                <c:pt idx="351">
                  <c:v>5000</c:v>
                </c:pt>
                <c:pt idx="352">
                  <c:v>9150</c:v>
                </c:pt>
                <c:pt idx="353">
                  <c:v>4100</c:v>
                </c:pt>
                <c:pt idx="354">
                  <c:v>3752</c:v>
                </c:pt>
                <c:pt idx="355">
                  <c:v>25</c:v>
                </c:pt>
                <c:pt idx="356">
                  <c:v>803</c:v>
                </c:pt>
                <c:pt idx="357">
                  <c:v>50</c:v>
                </c:pt>
                <c:pt idx="358">
                  <c:v>5500</c:v>
                </c:pt>
                <c:pt idx="359">
                  <c:v>5000</c:v>
                </c:pt>
                <c:pt idx="360">
                  <c:v>250</c:v>
                </c:pt>
                <c:pt idx="361">
                  <c:v>1181</c:v>
                </c:pt>
                <c:pt idx="362">
                  <c:v>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A-4147-A4E1-7D1A2465C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12784"/>
        <c:axId val="898188752"/>
      </c:lineChart>
      <c:catAx>
        <c:axId val="3931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188752"/>
        <c:crosses val="autoZero"/>
        <c:auto val="1"/>
        <c:lblAlgn val="ctr"/>
        <c:lblOffset val="100"/>
        <c:noMultiLvlLbl val="0"/>
      </c:catAx>
      <c:valAx>
        <c:axId val="898188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39312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FINAL.xlsm]Análisis!TablaDinámica6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Análisis!$B$110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Análisis!$A$111:$A$115</c:f>
              <c:strCache>
                <c:ptCount val="5"/>
                <c:pt idx="0">
                  <c:v>$4.001.990 - $5.001.989</c:v>
                </c:pt>
                <c:pt idx="1">
                  <c:v>$2.001.990 - $3.001.989</c:v>
                </c:pt>
                <c:pt idx="2">
                  <c:v>$1.001.990 - $2.001.989</c:v>
                </c:pt>
                <c:pt idx="3">
                  <c:v>$1990 - $1.001.989</c:v>
                </c:pt>
                <c:pt idx="4">
                  <c:v>$3.001.990 - $4.001.989</c:v>
                </c:pt>
              </c:strCache>
            </c:strRef>
          </c:cat>
          <c:val>
            <c:numRef>
              <c:f>Análisis!$B$111:$B$115</c:f>
              <c:numCache>
                <c:formatCode>_-* #,##0_-;\-* #,##0_-;_-* "-"??_-;_-@_-</c:formatCode>
                <c:ptCount val="5"/>
                <c:pt idx="0">
                  <c:v>3255</c:v>
                </c:pt>
                <c:pt idx="1">
                  <c:v>16276.2</c:v>
                </c:pt>
                <c:pt idx="2">
                  <c:v>17405.45</c:v>
                </c:pt>
                <c:pt idx="3">
                  <c:v>26449.292089249491</c:v>
                </c:pt>
                <c:pt idx="4">
                  <c:v>34126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F-41D3-9EC0-168DB1A6F5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92317568"/>
        <c:axId val="434322304"/>
      </c:barChart>
      <c:catAx>
        <c:axId val="1492317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34322304"/>
        <c:crosses val="autoZero"/>
        <c:auto val="1"/>
        <c:lblAlgn val="ctr"/>
        <c:lblOffset val="100"/>
        <c:noMultiLvlLbl val="0"/>
      </c:catAx>
      <c:valAx>
        <c:axId val="43432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9231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FINAL.xlsm]Análisis!TablaDinámica2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latin typeface="Fira Sans Medium" panose="020B0603050000020004" pitchFamily="34" charset="0"/>
              </a:rPr>
              <a:t>top</a:t>
            </a:r>
            <a:r>
              <a:rPr lang="en-US" baseline="0">
                <a:latin typeface="Fira Sans Medium" panose="020B0603050000020004" pitchFamily="34" charset="0"/>
              </a:rPr>
              <a:t> artículos más vendidos</a:t>
            </a:r>
            <a:endParaRPr lang="en-US">
              <a:latin typeface="Fira Sans Medium" panose="020B0603050000020004" pitchFamily="34" charset="0"/>
            </a:endParaRPr>
          </a:p>
        </c:rich>
      </c:tx>
      <c:layout>
        <c:manualLayout>
          <c:xMode val="edge"/>
          <c:yMode val="edge"/>
          <c:x val="0.13965949609588046"/>
          <c:y val="7.22096006914248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s-AR"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Fira Sans Medium" panose="020B0603050000020004" pitchFamily="34" charset="0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4"/>
        <c:spPr>
          <a:solidFill>
            <a:srgbClr val="B8D2FF"/>
          </a:solidFill>
          <a:ln w="19050">
            <a:noFill/>
          </a:ln>
          <a:effectLst/>
        </c:spPr>
      </c:pivotFmt>
      <c:pivotFmt>
        <c:idx val="15"/>
        <c:spPr>
          <a:solidFill>
            <a:srgbClr val="14483E"/>
          </a:solidFill>
          <a:ln w="19050"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0">
              <a:spAutoFit/>
            </a:bodyPr>
            <a:lstStyle/>
            <a:p>
              <a:pPr algn="ctr">
                <a:defRPr lang="es-AR" sz="1200" b="0" i="0" u="none" strike="noStrike" kern="120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Fira Sans Medium" panose="020B0603050000020004" pitchFamily="34" charset="0"/>
                  <a:ea typeface="+mn-ea"/>
                  <a:cs typeface="+mn-cs"/>
                </a:defRPr>
              </a:pPr>
              <a:endParaRPr lang="es-AR"/>
            </a:p>
          </c:txPr>
        </c:dLbl>
      </c:pivotFmt>
      <c:pivotFmt>
        <c:idx val="16"/>
        <c:spPr>
          <a:solidFill>
            <a:srgbClr val="FFCD29"/>
          </a:solidFill>
          <a:ln w="19050">
            <a:noFill/>
          </a:ln>
          <a:effectLst/>
        </c:spPr>
      </c:pivotFmt>
      <c:pivotFmt>
        <c:idx val="17"/>
        <c:spPr>
          <a:solidFill>
            <a:srgbClr val="402E84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Análisis!$B$64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chemeClr val="accent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DBA-40AE-AC3B-E361AD28C455}"/>
              </c:ext>
            </c:extLst>
          </c:dPt>
          <c:dPt>
            <c:idx val="1"/>
            <c:bubble3D val="0"/>
            <c:spPr>
              <a:solidFill>
                <a:srgbClr val="B8D2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DBA-40AE-AC3B-E361AD28C455}"/>
              </c:ext>
            </c:extLst>
          </c:dPt>
          <c:dPt>
            <c:idx val="2"/>
            <c:bubble3D val="0"/>
            <c:spPr>
              <a:solidFill>
                <a:srgbClr val="14483E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DBA-40AE-AC3B-E361AD28C455}"/>
              </c:ext>
            </c:extLst>
          </c:dPt>
          <c:dPt>
            <c:idx val="3"/>
            <c:bubble3D val="0"/>
            <c:spPr>
              <a:solidFill>
                <a:srgbClr val="FFCD29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DBA-40AE-AC3B-E361AD28C455}"/>
              </c:ext>
            </c:extLst>
          </c:dPt>
          <c:dPt>
            <c:idx val="4"/>
            <c:bubble3D val="0"/>
            <c:spPr>
              <a:solidFill>
                <a:srgbClr val="402E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DBA-40AE-AC3B-E361AD28C455}"/>
              </c:ext>
            </c:extLst>
          </c:dPt>
          <c:dLbls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0">
                  <a:spAutoFit/>
                </a:bodyPr>
                <a:lstStyle/>
                <a:p>
                  <a:pPr algn="ctr">
                    <a:defRPr lang="es-AR" sz="1200" b="0" i="0" u="none" strike="noStrike" kern="1200" cap="none" spc="0" baseline="0">
                      <a:ln w="0"/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Fira Sans Medium" panose="020B0603050000020004" pitchFamily="34" charset="0"/>
                      <a:ea typeface="+mn-ea"/>
                      <a:cs typeface="+mn-cs"/>
                    </a:defRPr>
                  </a:pPr>
                  <a:endParaRPr lang="es-AR"/>
                </a:p>
              </c:txPr>
              <c:dLblPos val="ctr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5-1DBA-40AE-AC3B-E361AD28C4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s-AR"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Fira Sans Medium" panose="020B06030500000200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Análisis!$A$65:$A$69</c:f>
              <c:strCache>
                <c:ptCount val="5"/>
                <c:pt idx="0">
                  <c:v>Auriculares Bluetooth In-Ear Gamer</c:v>
                </c:pt>
                <c:pt idx="1">
                  <c:v>Art-Jet A4 fotográfico de 20 hojas</c:v>
                </c:pt>
                <c:pt idx="2">
                  <c:v>cápsula Nescafé Dolce Gusto</c:v>
                </c:pt>
                <c:pt idx="3">
                  <c:v>Resma Punax A4 75 gr</c:v>
                </c:pt>
                <c:pt idx="4">
                  <c:v>Disco sólido interno Kingston </c:v>
                </c:pt>
              </c:strCache>
            </c:strRef>
          </c:cat>
          <c:val>
            <c:numRef>
              <c:f>Análisis!$B$65:$B$69</c:f>
              <c:numCache>
                <c:formatCode>General</c:formatCode>
                <c:ptCount val="5"/>
                <c:pt idx="0">
                  <c:v>644060</c:v>
                </c:pt>
                <c:pt idx="1">
                  <c:v>555872</c:v>
                </c:pt>
                <c:pt idx="2">
                  <c:v>325106</c:v>
                </c:pt>
                <c:pt idx="3">
                  <c:v>274340</c:v>
                </c:pt>
                <c:pt idx="4">
                  <c:v>265262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DBA-40AE-AC3B-E361AD28C4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Fira Sans Medium" panose="020B0603050000020004" pitchFamily="34" charset="0"/>
                <a:ea typeface="+mn-ea"/>
                <a:cs typeface="+mn-cs"/>
              </a:defRPr>
            </a:pPr>
            <a:endParaRPr lang="es-AR"/>
          </a:p>
        </c:txPr>
      </c:legendEntry>
      <c:layout>
        <c:manualLayout>
          <c:xMode val="edge"/>
          <c:yMode val="edge"/>
          <c:x val="0.62514547694525202"/>
          <c:y val="0.17941907172212032"/>
          <c:w val="0.33118145322811254"/>
          <c:h val="0.7990130747787749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ira Sans Medium" panose="020B0603050000020004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FINAL.xlsm]Análisis!TablaDinámica1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>
                <a:latin typeface="Fira Sans Medium" panose="020B0603050000020004" pitchFamily="34" charset="0"/>
              </a:rPr>
              <a:t>TOP</a:t>
            </a:r>
            <a:r>
              <a:rPr lang="en-US" sz="1400" baseline="0">
                <a:latin typeface="Fira Sans Medium" panose="020B0603050000020004" pitchFamily="34" charset="0"/>
              </a:rPr>
              <a:t> 5 categorías con más ventas</a:t>
            </a:r>
            <a:endParaRPr lang="en-US" sz="1400">
              <a:latin typeface="Fira Sans Medium" panose="020B0603050000020004" pitchFamily="34" charset="0"/>
            </a:endParaRPr>
          </a:p>
        </c:rich>
      </c:tx>
      <c:layout>
        <c:manualLayout>
          <c:xMode val="edge"/>
          <c:yMode val="edge"/>
          <c:x val="0.14552690099616511"/>
          <c:y val="7.22731262827512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"/>
      </c:pivotFmt>
      <c:pivotFmt>
        <c:idx val="2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3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4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5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6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7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8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9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0"/>
        <c:spPr>
          <a:solidFill>
            <a:schemeClr val="accent1"/>
          </a:solidFill>
          <a:ln w="19050">
            <a:noFill/>
          </a:ln>
          <a:effectLst/>
        </c:spPr>
      </c:pivotFmt>
      <c:pivotFmt>
        <c:idx val="11"/>
        <c:spPr>
          <a:solidFill>
            <a:schemeClr val="accent1"/>
          </a:solidFill>
          <a:ln w="19050">
            <a:noFill/>
          </a:ln>
          <a:effectLst/>
        </c:spPr>
        <c:marker>
          <c:symbol val="none"/>
        </c:marker>
        <c:dLbl>
          <c:idx val="0"/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tx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Fira Sans Medium" panose="020B0603050000020004" pitchFamily="34" charset="0"/>
                  <a:ea typeface="+mn-ea"/>
                  <a:cs typeface="+mn-cs"/>
                </a:defRPr>
              </a:pPr>
              <a:endParaRPr lang="es-A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12"/>
        <c:spPr>
          <a:solidFill>
            <a:srgbClr val="B8D2FF"/>
          </a:solidFill>
          <a:ln w="19050">
            <a:noFill/>
          </a:ln>
          <a:effectLst/>
        </c:spPr>
      </c:pivotFmt>
      <c:pivotFmt>
        <c:idx val="13"/>
        <c:spPr>
          <a:solidFill>
            <a:srgbClr val="402E84"/>
          </a:solidFill>
          <a:ln w="19050">
            <a:noFill/>
          </a:ln>
          <a:effectLst/>
        </c:spPr>
        <c:dLbl>
          <c:idx val="0"/>
          <c:layout>
            <c:manualLayout>
              <c:x val="7.2340414624497713E-3"/>
              <c:y val="-2.5053025879049558E-2"/>
            </c:manualLayout>
          </c:layout>
          <c:tx>
            <c:rich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Fira Sans Medium" panose="020B0603050000020004" pitchFamily="34" charset="0"/>
                    <a:ea typeface="+mn-ea"/>
                    <a:cs typeface="+mn-cs"/>
                  </a:defRPr>
                </a:pPr>
                <a:fld id="{F6064DF8-C4E7-432D-8A05-C3DA8ED72C73}" type="PERCENTAGE">
                  <a:rPr lang="en-US" baseline="0"/>
                  <a:pPr>
                    <a:defRPr sz="1200" cap="none" spc="0">
                      <a:ln w="0"/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Fira Sans Medium" panose="020B0603050000020004" pitchFamily="34" charset="0"/>
                    </a:defRPr>
                  </a:pPr>
                  <a:t>[PORCENTAJE]</a:t>
                </a:fld>
                <a:endParaRPr lang="es-AR"/>
              </a:p>
            </c:rich>
          </c:tx>
          <c:numFmt formatCode="0.00%" sourceLinked="0"/>
          <c:spPr>
            <a:noFill/>
            <a:ln>
              <a:noFill/>
            </a:ln>
            <a:effectLst/>
          </c:spPr>
          <c:txPr>
            <a:bodyPr rot="0" spcFirstLastPara="1" vertOverflow="clip" horzOverflow="clip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  <a:latin typeface="Fira Sans Medium" panose="020B0603050000020004" pitchFamily="34" charset="0"/>
                  <a:ea typeface="+mn-ea"/>
                  <a:cs typeface="+mn-cs"/>
                </a:defRPr>
              </a:pPr>
              <a:endParaRPr lang="es-A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rect">
                  <a:avLst/>
                </a:prstGeom>
                <a:noFill/>
                <a:ln>
                  <a:noFill/>
                </a:ln>
              </c15:spPr>
              <c15:dlblFieldTable/>
              <c15:showDataLabelsRange val="0"/>
            </c:ext>
          </c:extLst>
        </c:dLbl>
      </c:pivotFmt>
      <c:pivotFmt>
        <c:idx val="14"/>
        <c:spPr>
          <a:solidFill>
            <a:srgbClr val="8CC0A1"/>
          </a:solidFill>
          <a:ln w="19050">
            <a:noFill/>
          </a:ln>
          <a:effectLst/>
        </c:spPr>
      </c:pivotFmt>
      <c:pivotFmt>
        <c:idx val="15"/>
        <c:spPr>
          <a:solidFill>
            <a:schemeClr val="accent1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Análisis!$B$46</c:f>
              <c:strCache>
                <c:ptCount val="1"/>
                <c:pt idx="0">
                  <c:v>Total</c:v>
                </c:pt>
              </c:strCache>
            </c:strRef>
          </c:tx>
          <c:spPr>
            <a:ln>
              <a:noFill/>
            </a:ln>
          </c:spPr>
          <c:dPt>
            <c:idx val="0"/>
            <c:bubble3D val="0"/>
            <c:spPr>
              <a:solidFill>
                <a:srgbClr val="B8D2F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6F-49CE-A2C9-19F07B77F4BD}"/>
              </c:ext>
            </c:extLst>
          </c:dPt>
          <c:dPt>
            <c:idx val="1"/>
            <c:bubble3D val="0"/>
            <c:spPr>
              <a:solidFill>
                <a:srgbClr val="402E8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6F-49CE-A2C9-19F07B77F4BD}"/>
              </c:ext>
            </c:extLst>
          </c:dPt>
          <c:dPt>
            <c:idx val="2"/>
            <c:bubble3D val="0"/>
            <c:spPr>
              <a:solidFill>
                <a:srgbClr val="8CC0A1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6F-49CE-A2C9-19F07B77F4B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6F-49CE-A2C9-19F07B77F4BD}"/>
              </c:ext>
            </c:extLst>
          </c:dPt>
          <c:dLbls>
            <c:dLbl>
              <c:idx val="1"/>
              <c:layout>
                <c:manualLayout>
                  <c:x val="7.2340414624497713E-3"/>
                  <c:y val="-2.5053025879049558E-2"/>
                </c:manualLayout>
              </c:layout>
              <c:tx>
                <c:rich>
                  <a:bodyPr rot="0" spcFirstLastPara="1" vertOverflow="clip" horzOverflow="clip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200" b="0" i="0" u="none" strike="noStrike" kern="1200" cap="none" spc="0" baseline="0">
                        <a:ln w="0"/>
                        <a:solidFill>
                          <a:schemeClr val="bg1"/>
                        </a:solidFill>
                        <a:effectLst>
                          <a:outerShdw blurRad="38100" dist="19050" dir="2700000" algn="tl" rotWithShape="0">
                            <a:schemeClr val="dk1">
                              <a:alpha val="40000"/>
                            </a:schemeClr>
                          </a:outerShdw>
                        </a:effectLst>
                        <a:latin typeface="Fira Sans Medium" panose="020B0603050000020004" pitchFamily="34" charset="0"/>
                        <a:ea typeface="+mn-ea"/>
                        <a:cs typeface="+mn-cs"/>
                      </a:defRPr>
                    </a:pPr>
                    <a:fld id="{F6064DF8-C4E7-432D-8A05-C3DA8ED72C73}" type="PERCENTAGE">
                      <a:rPr lang="en-US" baseline="0"/>
                      <a:pPr>
                        <a:defRPr sz="1200" cap="none" spc="0">
                          <a:ln w="0"/>
                          <a:solidFill>
                            <a:schemeClr val="bg1"/>
                          </a:solidFill>
                          <a:effectLst>
                            <a:outerShdw blurRad="38100" dist="19050" dir="2700000" algn="tl" rotWithShape="0">
                              <a:schemeClr val="dk1">
                                <a:alpha val="40000"/>
                              </a:schemeClr>
                            </a:outerShdw>
                          </a:effectLst>
                          <a:latin typeface="Fira Sans Medium" panose="020B0603050000020004" pitchFamily="34" charset="0"/>
                        </a:defRPr>
                      </a:pPr>
                      <a:t>[PORCENTAJE]</a:t>
                    </a:fld>
                    <a:endParaRPr lang="es-AR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0" i="0" u="none" strike="noStrike" kern="1200" cap="none" spc="0" baseline="0">
                      <a:ln w="0"/>
                      <a:solidFill>
                        <a:schemeClr val="bg1"/>
                      </a:solidFill>
                      <a:effectLst>
                        <a:outerShdw blurRad="38100" dist="19050" dir="2700000" algn="tl" rotWithShape="0">
                          <a:schemeClr val="dk1">
                            <a:alpha val="40000"/>
                          </a:schemeClr>
                        </a:outerShdw>
                      </a:effectLst>
                      <a:latin typeface="Fira Sans Medium" panose="020B0603050000020004" pitchFamily="34" charset="0"/>
                      <a:ea typeface="+mn-ea"/>
                      <a:cs typeface="+mn-cs"/>
                    </a:defRPr>
                  </a:pPr>
                  <a:endParaRPr lang="es-AR"/>
                </a:p>
              </c:txPr>
              <c:showLegendKey val="1"/>
              <c:showVal val="1"/>
              <c:showCatName val="1"/>
              <c:showSerName val="1"/>
              <c:showPercent val="1"/>
              <c:showBubbleSize val="1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3-7E6F-49CE-A2C9-19F07B77F4BD}"/>
                </c:ext>
              </c:extLst>
            </c:dLbl>
            <c:numFmt formatCode="0.00%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cap="none" spc="0" baseline="0">
                    <a:ln w="0"/>
                    <a:solidFill>
                      <a:schemeClr val="tx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  <a:latin typeface="Fira Sans Medium" panose="020B06030500000200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Análisis!$A$47:$A$50</c:f>
              <c:strCache>
                <c:ptCount val="4"/>
                <c:pt idx="0">
                  <c:v>Otros</c:v>
                </c:pt>
                <c:pt idx="1">
                  <c:v>Alimentos y Bebidas</c:v>
                </c:pt>
                <c:pt idx="2">
                  <c:v>Arte, Librería y Mercería</c:v>
                </c:pt>
                <c:pt idx="3">
                  <c:v>Computación</c:v>
                </c:pt>
              </c:strCache>
            </c:strRef>
          </c:cat>
          <c:val>
            <c:numRef>
              <c:f>Análisis!$B$47:$B$50</c:f>
              <c:numCache>
                <c:formatCode>General</c:formatCode>
                <c:ptCount val="4"/>
                <c:pt idx="0">
                  <c:v>9219947</c:v>
                </c:pt>
                <c:pt idx="1">
                  <c:v>1500555</c:v>
                </c:pt>
                <c:pt idx="2">
                  <c:v>1243583</c:v>
                </c:pt>
                <c:pt idx="3">
                  <c:v>1700688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E6F-49CE-A2C9-19F07B77F4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5136206857428125"/>
          <c:y val="0.29969692756352351"/>
          <c:w val="0.32342179309718849"/>
          <c:h val="0.530876894128612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Fira Sans Medium" panose="020B0603050000020004" pitchFamily="34" charset="0"/>
              <a:ea typeface="+mn-ea"/>
              <a:cs typeface="+mn-cs"/>
            </a:defRPr>
          </a:pPr>
          <a:endParaRPr lang="es-A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>
                <a:latin typeface="Fira Sans Medium" panose="020B0603050000020004" pitchFamily="34" charset="0"/>
              </a:rPr>
              <a:t>Promedio</a:t>
            </a:r>
            <a:r>
              <a:rPr lang="en-US" sz="1800" baseline="0">
                <a:latin typeface="Fira Sans Medium" panose="020B0603050000020004" pitchFamily="34" charset="0"/>
              </a:rPr>
              <a:t> de ventas por hora</a:t>
            </a:r>
            <a:endParaRPr lang="en-US" sz="1800">
              <a:latin typeface="Fira Sans Medium" panose="020B0603050000020004" pitchFamily="34" charset="0"/>
            </a:endParaRPr>
          </a:p>
        </c:rich>
      </c:tx>
      <c:layout>
        <c:manualLayout>
          <c:xMode val="edge"/>
          <c:yMode val="edge"/>
          <c:x val="0.32440476190476192"/>
          <c:y val="0.238240740740740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rgbClr val="402E84"/>
            </a:solidFill>
            <a:round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0.19387688433543093"/>
          <c:y val="0.37201122144607424"/>
          <c:w val="0.73264403167462411"/>
          <c:h val="0.49622806556830756"/>
        </c:manualLayout>
      </c:layout>
      <c:lineChart>
        <c:grouping val="stacked"/>
        <c:varyColors val="0"/>
        <c:ser>
          <c:idx val="0"/>
          <c:order val="0"/>
          <c:tx>
            <c:strRef>
              <c:f>Análisis!$R$81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rgbClr val="402E84"/>
              </a:solidFill>
              <a:round/>
            </a:ln>
            <a:effectLst/>
          </c:spPr>
          <c:marker>
            <c:symbol val="none"/>
          </c:marker>
          <c:cat>
            <c:strRef>
              <c:f>Análisis!$Q$82:$Q$444</c:f>
              <c:strCache>
                <c:ptCount val="363"/>
                <c:pt idx="0">
                  <c:v>00:01</c:v>
                </c:pt>
                <c:pt idx="1">
                  <c:v>00:07</c:v>
                </c:pt>
                <c:pt idx="2">
                  <c:v>00:15</c:v>
                </c:pt>
                <c:pt idx="3">
                  <c:v>00:35</c:v>
                </c:pt>
                <c:pt idx="4">
                  <c:v>00:41</c:v>
                </c:pt>
                <c:pt idx="5">
                  <c:v>00:43</c:v>
                </c:pt>
                <c:pt idx="6">
                  <c:v>00:48</c:v>
                </c:pt>
                <c:pt idx="7">
                  <c:v>00:49</c:v>
                </c:pt>
                <c:pt idx="8">
                  <c:v>01:00</c:v>
                </c:pt>
                <c:pt idx="9">
                  <c:v>01:01</c:v>
                </c:pt>
                <c:pt idx="10">
                  <c:v>01:18</c:v>
                </c:pt>
                <c:pt idx="11">
                  <c:v>01:24</c:v>
                </c:pt>
                <c:pt idx="12">
                  <c:v>02:06</c:v>
                </c:pt>
                <c:pt idx="13">
                  <c:v>02:21</c:v>
                </c:pt>
                <c:pt idx="14">
                  <c:v>02:28</c:v>
                </c:pt>
                <c:pt idx="15">
                  <c:v>02:32</c:v>
                </c:pt>
                <c:pt idx="16">
                  <c:v>02:51</c:v>
                </c:pt>
                <c:pt idx="17">
                  <c:v>04:13</c:v>
                </c:pt>
                <c:pt idx="18">
                  <c:v>04:34</c:v>
                </c:pt>
                <c:pt idx="19">
                  <c:v>07:55</c:v>
                </c:pt>
                <c:pt idx="20">
                  <c:v>08:05</c:v>
                </c:pt>
                <c:pt idx="21">
                  <c:v>08:07</c:v>
                </c:pt>
                <c:pt idx="22">
                  <c:v>08:13</c:v>
                </c:pt>
                <c:pt idx="23">
                  <c:v>08:23</c:v>
                </c:pt>
                <c:pt idx="24">
                  <c:v>08:29</c:v>
                </c:pt>
                <c:pt idx="25">
                  <c:v>08:36</c:v>
                </c:pt>
                <c:pt idx="26">
                  <c:v>08:37</c:v>
                </c:pt>
                <c:pt idx="27">
                  <c:v>08:38</c:v>
                </c:pt>
                <c:pt idx="28">
                  <c:v>08:59</c:v>
                </c:pt>
                <c:pt idx="29">
                  <c:v>09:04</c:v>
                </c:pt>
                <c:pt idx="30">
                  <c:v>09:08</c:v>
                </c:pt>
                <c:pt idx="31">
                  <c:v>09:09</c:v>
                </c:pt>
                <c:pt idx="32">
                  <c:v>09:17</c:v>
                </c:pt>
                <c:pt idx="33">
                  <c:v>09:22</c:v>
                </c:pt>
                <c:pt idx="34">
                  <c:v>09:23</c:v>
                </c:pt>
                <c:pt idx="35">
                  <c:v>09:25</c:v>
                </c:pt>
                <c:pt idx="36">
                  <c:v>09:26</c:v>
                </c:pt>
                <c:pt idx="37">
                  <c:v>09:27</c:v>
                </c:pt>
                <c:pt idx="38">
                  <c:v>09:28</c:v>
                </c:pt>
                <c:pt idx="39">
                  <c:v>09:31</c:v>
                </c:pt>
                <c:pt idx="40">
                  <c:v>09:39</c:v>
                </c:pt>
                <c:pt idx="41">
                  <c:v>09:40</c:v>
                </c:pt>
                <c:pt idx="42">
                  <c:v>09:46</c:v>
                </c:pt>
                <c:pt idx="43">
                  <c:v>09:49</c:v>
                </c:pt>
                <c:pt idx="44">
                  <c:v>09:50</c:v>
                </c:pt>
                <c:pt idx="45">
                  <c:v>09:52</c:v>
                </c:pt>
                <c:pt idx="46">
                  <c:v>09:54</c:v>
                </c:pt>
                <c:pt idx="47">
                  <c:v>10:00</c:v>
                </c:pt>
                <c:pt idx="48">
                  <c:v>10:01</c:v>
                </c:pt>
                <c:pt idx="49">
                  <c:v>10:02</c:v>
                </c:pt>
                <c:pt idx="50">
                  <c:v>10:03</c:v>
                </c:pt>
                <c:pt idx="51">
                  <c:v>10:10</c:v>
                </c:pt>
                <c:pt idx="52">
                  <c:v>10:14</c:v>
                </c:pt>
                <c:pt idx="53">
                  <c:v>10:17</c:v>
                </c:pt>
                <c:pt idx="54">
                  <c:v>10:21</c:v>
                </c:pt>
                <c:pt idx="55">
                  <c:v>10:24</c:v>
                </c:pt>
                <c:pt idx="56">
                  <c:v>10:29</c:v>
                </c:pt>
                <c:pt idx="57">
                  <c:v>10:33</c:v>
                </c:pt>
                <c:pt idx="58">
                  <c:v>10:35</c:v>
                </c:pt>
                <c:pt idx="59">
                  <c:v>10:36</c:v>
                </c:pt>
                <c:pt idx="60">
                  <c:v>10:38</c:v>
                </c:pt>
                <c:pt idx="61">
                  <c:v>10:40</c:v>
                </c:pt>
                <c:pt idx="62">
                  <c:v>10:42</c:v>
                </c:pt>
                <c:pt idx="63">
                  <c:v>10:45</c:v>
                </c:pt>
                <c:pt idx="64">
                  <c:v>10:49</c:v>
                </c:pt>
                <c:pt idx="65">
                  <c:v>10:50</c:v>
                </c:pt>
                <c:pt idx="66">
                  <c:v>10:51</c:v>
                </c:pt>
                <c:pt idx="67">
                  <c:v>10:52</c:v>
                </c:pt>
                <c:pt idx="68">
                  <c:v>10:53</c:v>
                </c:pt>
                <c:pt idx="69">
                  <c:v>10:56</c:v>
                </c:pt>
                <c:pt idx="70">
                  <c:v>10:59</c:v>
                </c:pt>
                <c:pt idx="71">
                  <c:v>11:00</c:v>
                </c:pt>
                <c:pt idx="72">
                  <c:v>11:05</c:v>
                </c:pt>
                <c:pt idx="73">
                  <c:v>11:06</c:v>
                </c:pt>
                <c:pt idx="74">
                  <c:v>11:07</c:v>
                </c:pt>
                <c:pt idx="75">
                  <c:v>11:09</c:v>
                </c:pt>
                <c:pt idx="76">
                  <c:v>11:11</c:v>
                </c:pt>
                <c:pt idx="77">
                  <c:v>11:13</c:v>
                </c:pt>
                <c:pt idx="78">
                  <c:v>11:15</c:v>
                </c:pt>
                <c:pt idx="79">
                  <c:v>11:18</c:v>
                </c:pt>
                <c:pt idx="80">
                  <c:v>11:19</c:v>
                </c:pt>
                <c:pt idx="81">
                  <c:v>11:20</c:v>
                </c:pt>
                <c:pt idx="82">
                  <c:v>11:21</c:v>
                </c:pt>
                <c:pt idx="83">
                  <c:v>11:29</c:v>
                </c:pt>
                <c:pt idx="84">
                  <c:v>11:30</c:v>
                </c:pt>
                <c:pt idx="85">
                  <c:v>11:33</c:v>
                </c:pt>
                <c:pt idx="86">
                  <c:v>11:35</c:v>
                </c:pt>
                <c:pt idx="87">
                  <c:v>11:36</c:v>
                </c:pt>
                <c:pt idx="88">
                  <c:v>11:39</c:v>
                </c:pt>
                <c:pt idx="89">
                  <c:v>11:44</c:v>
                </c:pt>
                <c:pt idx="90">
                  <c:v>11:45</c:v>
                </c:pt>
                <c:pt idx="91">
                  <c:v>11:46</c:v>
                </c:pt>
                <c:pt idx="92">
                  <c:v>11:47</c:v>
                </c:pt>
                <c:pt idx="93">
                  <c:v>11:48</c:v>
                </c:pt>
                <c:pt idx="94">
                  <c:v>11:49</c:v>
                </c:pt>
                <c:pt idx="95">
                  <c:v>11:50</c:v>
                </c:pt>
                <c:pt idx="96">
                  <c:v>11:51</c:v>
                </c:pt>
                <c:pt idx="97">
                  <c:v>11:53</c:v>
                </c:pt>
                <c:pt idx="98">
                  <c:v>11:59</c:v>
                </c:pt>
                <c:pt idx="99">
                  <c:v>12:01</c:v>
                </c:pt>
                <c:pt idx="100">
                  <c:v>12:02</c:v>
                </c:pt>
                <c:pt idx="101">
                  <c:v>12:04</c:v>
                </c:pt>
                <c:pt idx="102">
                  <c:v>12:06</c:v>
                </c:pt>
                <c:pt idx="103">
                  <c:v>12:08</c:v>
                </c:pt>
                <c:pt idx="104">
                  <c:v>12:09</c:v>
                </c:pt>
                <c:pt idx="105">
                  <c:v>12:12</c:v>
                </c:pt>
                <c:pt idx="106">
                  <c:v>12:14</c:v>
                </c:pt>
                <c:pt idx="107">
                  <c:v>12:18</c:v>
                </c:pt>
                <c:pt idx="108">
                  <c:v>12:20</c:v>
                </c:pt>
                <c:pt idx="109">
                  <c:v>12:22</c:v>
                </c:pt>
                <c:pt idx="110">
                  <c:v>12:23</c:v>
                </c:pt>
                <c:pt idx="111">
                  <c:v>12:24</c:v>
                </c:pt>
                <c:pt idx="112">
                  <c:v>12:25</c:v>
                </c:pt>
                <c:pt idx="113">
                  <c:v>12:26</c:v>
                </c:pt>
                <c:pt idx="114">
                  <c:v>12:27</c:v>
                </c:pt>
                <c:pt idx="115">
                  <c:v>12:29</c:v>
                </c:pt>
                <c:pt idx="116">
                  <c:v>12:30</c:v>
                </c:pt>
                <c:pt idx="117">
                  <c:v>12:33</c:v>
                </c:pt>
                <c:pt idx="118">
                  <c:v>12:39</c:v>
                </c:pt>
                <c:pt idx="119">
                  <c:v>12:44</c:v>
                </c:pt>
                <c:pt idx="120">
                  <c:v>12:45</c:v>
                </c:pt>
                <c:pt idx="121">
                  <c:v>12:46</c:v>
                </c:pt>
                <c:pt idx="122">
                  <c:v>12:47</c:v>
                </c:pt>
                <c:pt idx="123">
                  <c:v>12:50</c:v>
                </c:pt>
                <c:pt idx="124">
                  <c:v>12:52</c:v>
                </c:pt>
                <c:pt idx="125">
                  <c:v>12:53</c:v>
                </c:pt>
                <c:pt idx="126">
                  <c:v>12:54</c:v>
                </c:pt>
                <c:pt idx="127">
                  <c:v>13:02</c:v>
                </c:pt>
                <c:pt idx="128">
                  <c:v>13:06</c:v>
                </c:pt>
                <c:pt idx="129">
                  <c:v>13:07</c:v>
                </c:pt>
                <c:pt idx="130">
                  <c:v>13:14</c:v>
                </c:pt>
                <c:pt idx="131">
                  <c:v>13:17</c:v>
                </c:pt>
                <c:pt idx="132">
                  <c:v>13:18</c:v>
                </c:pt>
                <c:pt idx="133">
                  <c:v>13:24</c:v>
                </c:pt>
                <c:pt idx="134">
                  <c:v>13:30</c:v>
                </c:pt>
                <c:pt idx="135">
                  <c:v>13:32</c:v>
                </c:pt>
                <c:pt idx="136">
                  <c:v>13:33</c:v>
                </c:pt>
                <c:pt idx="137">
                  <c:v>13:35</c:v>
                </c:pt>
                <c:pt idx="138">
                  <c:v>13:37</c:v>
                </c:pt>
                <c:pt idx="139">
                  <c:v>13:38</c:v>
                </c:pt>
                <c:pt idx="140">
                  <c:v>13:39</c:v>
                </c:pt>
                <c:pt idx="141">
                  <c:v>13:41</c:v>
                </c:pt>
                <c:pt idx="142">
                  <c:v>13:42</c:v>
                </c:pt>
                <c:pt idx="143">
                  <c:v>13:48</c:v>
                </c:pt>
                <c:pt idx="144">
                  <c:v>13:55</c:v>
                </c:pt>
                <c:pt idx="145">
                  <c:v>13:57</c:v>
                </c:pt>
                <c:pt idx="146">
                  <c:v>14:02</c:v>
                </c:pt>
                <c:pt idx="147">
                  <c:v>14:07</c:v>
                </c:pt>
                <c:pt idx="148">
                  <c:v>14:10</c:v>
                </c:pt>
                <c:pt idx="149">
                  <c:v>14:11</c:v>
                </c:pt>
                <c:pt idx="150">
                  <c:v>14:13</c:v>
                </c:pt>
                <c:pt idx="151">
                  <c:v>14:14</c:v>
                </c:pt>
                <c:pt idx="152">
                  <c:v>14:15</c:v>
                </c:pt>
                <c:pt idx="153">
                  <c:v>14:16</c:v>
                </c:pt>
                <c:pt idx="154">
                  <c:v>14:17</c:v>
                </c:pt>
                <c:pt idx="155">
                  <c:v>14:18</c:v>
                </c:pt>
                <c:pt idx="156">
                  <c:v>14:19</c:v>
                </c:pt>
                <c:pt idx="157">
                  <c:v>14:22</c:v>
                </c:pt>
                <c:pt idx="158">
                  <c:v>14:23</c:v>
                </c:pt>
                <c:pt idx="159">
                  <c:v>14:25</c:v>
                </c:pt>
                <c:pt idx="160">
                  <c:v>14:27</c:v>
                </c:pt>
                <c:pt idx="161">
                  <c:v>14:29</c:v>
                </c:pt>
                <c:pt idx="162">
                  <c:v>14:30</c:v>
                </c:pt>
                <c:pt idx="163">
                  <c:v>14:31</c:v>
                </c:pt>
                <c:pt idx="164">
                  <c:v>14:32</c:v>
                </c:pt>
                <c:pt idx="165">
                  <c:v>14:35</c:v>
                </c:pt>
                <c:pt idx="166">
                  <c:v>14:37</c:v>
                </c:pt>
                <c:pt idx="167">
                  <c:v>14:40</c:v>
                </c:pt>
                <c:pt idx="168">
                  <c:v>14:41</c:v>
                </c:pt>
                <c:pt idx="169">
                  <c:v>14:43</c:v>
                </c:pt>
                <c:pt idx="170">
                  <c:v>14:44</c:v>
                </c:pt>
                <c:pt idx="171">
                  <c:v>14:46</c:v>
                </c:pt>
                <c:pt idx="172">
                  <c:v>14:50</c:v>
                </c:pt>
                <c:pt idx="173">
                  <c:v>14:52</c:v>
                </c:pt>
                <c:pt idx="174">
                  <c:v>14:54</c:v>
                </c:pt>
                <c:pt idx="175">
                  <c:v>15:00</c:v>
                </c:pt>
                <c:pt idx="176">
                  <c:v>15:02</c:v>
                </c:pt>
                <c:pt idx="177">
                  <c:v>15:04</c:v>
                </c:pt>
                <c:pt idx="178">
                  <c:v>15:05</c:v>
                </c:pt>
                <c:pt idx="179">
                  <c:v>15:09</c:v>
                </c:pt>
                <c:pt idx="180">
                  <c:v>15:15</c:v>
                </c:pt>
                <c:pt idx="181">
                  <c:v>15:17</c:v>
                </c:pt>
                <c:pt idx="182">
                  <c:v>15:20</c:v>
                </c:pt>
                <c:pt idx="183">
                  <c:v>15:21</c:v>
                </c:pt>
                <c:pt idx="184">
                  <c:v>15:22</c:v>
                </c:pt>
                <c:pt idx="185">
                  <c:v>15:26</c:v>
                </c:pt>
                <c:pt idx="186">
                  <c:v>15:27</c:v>
                </c:pt>
                <c:pt idx="187">
                  <c:v>15:29</c:v>
                </c:pt>
                <c:pt idx="188">
                  <c:v>15:30</c:v>
                </c:pt>
                <c:pt idx="189">
                  <c:v>15:34</c:v>
                </c:pt>
                <c:pt idx="190">
                  <c:v>15:35</c:v>
                </c:pt>
                <c:pt idx="191">
                  <c:v>15:37</c:v>
                </c:pt>
                <c:pt idx="192">
                  <c:v>15:38</c:v>
                </c:pt>
                <c:pt idx="193">
                  <c:v>15:40</c:v>
                </c:pt>
                <c:pt idx="194">
                  <c:v>15:41</c:v>
                </c:pt>
                <c:pt idx="195">
                  <c:v>15:43</c:v>
                </c:pt>
                <c:pt idx="196">
                  <c:v>15:45</c:v>
                </c:pt>
                <c:pt idx="197">
                  <c:v>15:46</c:v>
                </c:pt>
                <c:pt idx="198">
                  <c:v>15:47</c:v>
                </c:pt>
                <c:pt idx="199">
                  <c:v>15:52</c:v>
                </c:pt>
                <c:pt idx="200">
                  <c:v>15:54</c:v>
                </c:pt>
                <c:pt idx="201">
                  <c:v>15:59</c:v>
                </c:pt>
                <c:pt idx="202">
                  <c:v>16:00</c:v>
                </c:pt>
                <c:pt idx="203">
                  <c:v>16:02</c:v>
                </c:pt>
                <c:pt idx="204">
                  <c:v>16:05</c:v>
                </c:pt>
                <c:pt idx="205">
                  <c:v>16:06</c:v>
                </c:pt>
                <c:pt idx="206">
                  <c:v>16:07</c:v>
                </c:pt>
                <c:pt idx="207">
                  <c:v>16:13</c:v>
                </c:pt>
                <c:pt idx="208">
                  <c:v>16:14</c:v>
                </c:pt>
                <c:pt idx="209">
                  <c:v>16:15</c:v>
                </c:pt>
                <c:pt idx="210">
                  <c:v>16:19</c:v>
                </c:pt>
                <c:pt idx="211">
                  <c:v>16:21</c:v>
                </c:pt>
                <c:pt idx="212">
                  <c:v>16:24</c:v>
                </c:pt>
                <c:pt idx="213">
                  <c:v>16:25</c:v>
                </c:pt>
                <c:pt idx="214">
                  <c:v>16:26</c:v>
                </c:pt>
                <c:pt idx="215">
                  <c:v>16:27</c:v>
                </c:pt>
                <c:pt idx="216">
                  <c:v>16:29</c:v>
                </c:pt>
                <c:pt idx="217">
                  <c:v>16:30</c:v>
                </c:pt>
                <c:pt idx="218">
                  <c:v>16:32</c:v>
                </c:pt>
                <c:pt idx="219">
                  <c:v>16:34</c:v>
                </c:pt>
                <c:pt idx="220">
                  <c:v>16:37</c:v>
                </c:pt>
                <c:pt idx="221">
                  <c:v>16:39</c:v>
                </c:pt>
                <c:pt idx="222">
                  <c:v>16:46</c:v>
                </c:pt>
                <c:pt idx="223">
                  <c:v>16:49</c:v>
                </c:pt>
                <c:pt idx="224">
                  <c:v>16:51</c:v>
                </c:pt>
                <c:pt idx="225">
                  <c:v>16:52</c:v>
                </c:pt>
                <c:pt idx="226">
                  <c:v>16:53</c:v>
                </c:pt>
                <c:pt idx="227">
                  <c:v>16:54</c:v>
                </c:pt>
                <c:pt idx="228">
                  <c:v>16:57</c:v>
                </c:pt>
                <c:pt idx="229">
                  <c:v>16:59</c:v>
                </c:pt>
                <c:pt idx="230">
                  <c:v>17:02</c:v>
                </c:pt>
                <c:pt idx="231">
                  <c:v>17:05</c:v>
                </c:pt>
                <c:pt idx="232">
                  <c:v>17:06</c:v>
                </c:pt>
                <c:pt idx="233">
                  <c:v>17:10</c:v>
                </c:pt>
                <c:pt idx="234">
                  <c:v>17:11</c:v>
                </c:pt>
                <c:pt idx="235">
                  <c:v>17:14</c:v>
                </c:pt>
                <c:pt idx="236">
                  <c:v>17:16</c:v>
                </c:pt>
                <c:pt idx="237">
                  <c:v>17:17</c:v>
                </c:pt>
                <c:pt idx="238">
                  <c:v>17:18</c:v>
                </c:pt>
                <c:pt idx="239">
                  <c:v>17:22</c:v>
                </c:pt>
                <c:pt idx="240">
                  <c:v>17:23</c:v>
                </c:pt>
                <c:pt idx="241">
                  <c:v>17:24</c:v>
                </c:pt>
                <c:pt idx="242">
                  <c:v>17:25</c:v>
                </c:pt>
                <c:pt idx="243">
                  <c:v>17:26</c:v>
                </c:pt>
                <c:pt idx="244">
                  <c:v>17:27</c:v>
                </c:pt>
                <c:pt idx="245">
                  <c:v>17:28</c:v>
                </c:pt>
                <c:pt idx="246">
                  <c:v>17:30</c:v>
                </c:pt>
                <c:pt idx="247">
                  <c:v>17:31</c:v>
                </c:pt>
                <c:pt idx="248">
                  <c:v>17:34</c:v>
                </c:pt>
                <c:pt idx="249">
                  <c:v>17:35</c:v>
                </c:pt>
                <c:pt idx="250">
                  <c:v>17:37</c:v>
                </c:pt>
                <c:pt idx="251">
                  <c:v>17:42</c:v>
                </c:pt>
                <c:pt idx="252">
                  <c:v>17:43</c:v>
                </c:pt>
                <c:pt idx="253">
                  <c:v>17:46</c:v>
                </c:pt>
                <c:pt idx="254">
                  <c:v>17:47</c:v>
                </c:pt>
                <c:pt idx="255">
                  <c:v>17:50</c:v>
                </c:pt>
                <c:pt idx="256">
                  <c:v>17:52</c:v>
                </c:pt>
                <c:pt idx="257">
                  <c:v>17:54</c:v>
                </c:pt>
                <c:pt idx="258">
                  <c:v>17:55</c:v>
                </c:pt>
                <c:pt idx="259">
                  <c:v>17:57</c:v>
                </c:pt>
                <c:pt idx="260">
                  <c:v>17:58</c:v>
                </c:pt>
                <c:pt idx="261">
                  <c:v>17:59</c:v>
                </c:pt>
                <c:pt idx="262">
                  <c:v>18:00</c:v>
                </c:pt>
                <c:pt idx="263">
                  <c:v>18:01</c:v>
                </c:pt>
                <c:pt idx="264">
                  <c:v>18:03</c:v>
                </c:pt>
                <c:pt idx="265">
                  <c:v>18:05</c:v>
                </c:pt>
                <c:pt idx="266">
                  <c:v>18:07</c:v>
                </c:pt>
                <c:pt idx="267">
                  <c:v>18:08</c:v>
                </c:pt>
                <c:pt idx="268">
                  <c:v>18:09</c:v>
                </c:pt>
                <c:pt idx="269">
                  <c:v>18:11</c:v>
                </c:pt>
                <c:pt idx="270">
                  <c:v>18:12</c:v>
                </c:pt>
                <c:pt idx="271">
                  <c:v>18:13</c:v>
                </c:pt>
                <c:pt idx="272">
                  <c:v>18:22</c:v>
                </c:pt>
                <c:pt idx="273">
                  <c:v>18:23</c:v>
                </c:pt>
                <c:pt idx="274">
                  <c:v>18:33</c:v>
                </c:pt>
                <c:pt idx="275">
                  <c:v>18:36</c:v>
                </c:pt>
                <c:pt idx="276">
                  <c:v>18:37</c:v>
                </c:pt>
                <c:pt idx="277">
                  <c:v>18:38</c:v>
                </c:pt>
                <c:pt idx="278">
                  <c:v>18:39</c:v>
                </c:pt>
                <c:pt idx="279">
                  <c:v>18:41</c:v>
                </c:pt>
                <c:pt idx="280">
                  <c:v>18:42</c:v>
                </c:pt>
                <c:pt idx="281">
                  <c:v>18:48</c:v>
                </c:pt>
                <c:pt idx="282">
                  <c:v>18:50</c:v>
                </c:pt>
                <c:pt idx="283">
                  <c:v>18:53</c:v>
                </c:pt>
                <c:pt idx="284">
                  <c:v>18:56</c:v>
                </c:pt>
                <c:pt idx="285">
                  <c:v>18:58</c:v>
                </c:pt>
                <c:pt idx="286">
                  <c:v>19:00</c:v>
                </c:pt>
                <c:pt idx="287">
                  <c:v>19:02</c:v>
                </c:pt>
                <c:pt idx="288">
                  <c:v>19:03</c:v>
                </c:pt>
                <c:pt idx="289">
                  <c:v>19:04</c:v>
                </c:pt>
                <c:pt idx="290">
                  <c:v>19:05</c:v>
                </c:pt>
                <c:pt idx="291">
                  <c:v>19:07</c:v>
                </c:pt>
                <c:pt idx="292">
                  <c:v>19:09</c:v>
                </c:pt>
                <c:pt idx="293">
                  <c:v>19:11</c:v>
                </c:pt>
                <c:pt idx="294">
                  <c:v>19:12</c:v>
                </c:pt>
                <c:pt idx="295">
                  <c:v>19:13</c:v>
                </c:pt>
                <c:pt idx="296">
                  <c:v>19:14</c:v>
                </c:pt>
                <c:pt idx="297">
                  <c:v>19:18</c:v>
                </c:pt>
                <c:pt idx="298">
                  <c:v>19:19</c:v>
                </c:pt>
                <c:pt idx="299">
                  <c:v>19:20</c:v>
                </c:pt>
                <c:pt idx="300">
                  <c:v>19:22</c:v>
                </c:pt>
                <c:pt idx="301">
                  <c:v>19:26</c:v>
                </c:pt>
                <c:pt idx="302">
                  <c:v>19:27</c:v>
                </c:pt>
                <c:pt idx="303">
                  <c:v>19:28</c:v>
                </c:pt>
                <c:pt idx="304">
                  <c:v>19:29</c:v>
                </c:pt>
                <c:pt idx="305">
                  <c:v>19:31</c:v>
                </c:pt>
                <c:pt idx="306">
                  <c:v>19:32</c:v>
                </c:pt>
                <c:pt idx="307">
                  <c:v>19:36</c:v>
                </c:pt>
                <c:pt idx="308">
                  <c:v>19:41</c:v>
                </c:pt>
                <c:pt idx="309">
                  <c:v>19:44</c:v>
                </c:pt>
                <c:pt idx="310">
                  <c:v>19:45</c:v>
                </c:pt>
                <c:pt idx="311">
                  <c:v>19:48</c:v>
                </c:pt>
                <c:pt idx="312">
                  <c:v>19:49</c:v>
                </c:pt>
                <c:pt idx="313">
                  <c:v>19:54</c:v>
                </c:pt>
                <c:pt idx="314">
                  <c:v>19:56</c:v>
                </c:pt>
                <c:pt idx="315">
                  <c:v>19:59</c:v>
                </c:pt>
                <c:pt idx="316">
                  <c:v>20:02</c:v>
                </c:pt>
                <c:pt idx="317">
                  <c:v>20:03</c:v>
                </c:pt>
                <c:pt idx="318">
                  <c:v>20:04</c:v>
                </c:pt>
                <c:pt idx="319">
                  <c:v>20:05</c:v>
                </c:pt>
                <c:pt idx="320">
                  <c:v>20:10</c:v>
                </c:pt>
                <c:pt idx="321">
                  <c:v>20:14</c:v>
                </c:pt>
                <c:pt idx="322">
                  <c:v>20:16</c:v>
                </c:pt>
                <c:pt idx="323">
                  <c:v>20:17</c:v>
                </c:pt>
                <c:pt idx="324">
                  <c:v>20:27</c:v>
                </c:pt>
                <c:pt idx="325">
                  <c:v>20:32</c:v>
                </c:pt>
                <c:pt idx="326">
                  <c:v>20:34</c:v>
                </c:pt>
                <c:pt idx="327">
                  <c:v>20:35</c:v>
                </c:pt>
                <c:pt idx="328">
                  <c:v>20:39</c:v>
                </c:pt>
                <c:pt idx="329">
                  <c:v>20:41</c:v>
                </c:pt>
                <c:pt idx="330">
                  <c:v>20:46</c:v>
                </c:pt>
                <c:pt idx="331">
                  <c:v>20:49</c:v>
                </c:pt>
                <c:pt idx="332">
                  <c:v>20:56</c:v>
                </c:pt>
                <c:pt idx="333">
                  <c:v>21:00</c:v>
                </c:pt>
                <c:pt idx="334">
                  <c:v>21:01</c:v>
                </c:pt>
                <c:pt idx="335">
                  <c:v>21:06</c:v>
                </c:pt>
                <c:pt idx="336">
                  <c:v>21:12</c:v>
                </c:pt>
                <c:pt idx="337">
                  <c:v>21:16</c:v>
                </c:pt>
                <c:pt idx="338">
                  <c:v>21:20</c:v>
                </c:pt>
                <c:pt idx="339">
                  <c:v>21:21</c:v>
                </c:pt>
                <c:pt idx="340">
                  <c:v>21:22</c:v>
                </c:pt>
                <c:pt idx="341">
                  <c:v>21:33</c:v>
                </c:pt>
                <c:pt idx="342">
                  <c:v>21:37</c:v>
                </c:pt>
                <c:pt idx="343">
                  <c:v>21:45</c:v>
                </c:pt>
                <c:pt idx="344">
                  <c:v>22:00</c:v>
                </c:pt>
                <c:pt idx="345">
                  <c:v>22:05</c:v>
                </c:pt>
                <c:pt idx="346">
                  <c:v>22:06</c:v>
                </c:pt>
                <c:pt idx="347">
                  <c:v>22:10</c:v>
                </c:pt>
                <c:pt idx="348">
                  <c:v>22:11</c:v>
                </c:pt>
                <c:pt idx="349">
                  <c:v>22:16</c:v>
                </c:pt>
                <c:pt idx="350">
                  <c:v>22:18</c:v>
                </c:pt>
                <c:pt idx="351">
                  <c:v>22:36</c:v>
                </c:pt>
                <c:pt idx="352">
                  <c:v>22:39</c:v>
                </c:pt>
                <c:pt idx="353">
                  <c:v>22:46</c:v>
                </c:pt>
                <c:pt idx="354">
                  <c:v>22:54</c:v>
                </c:pt>
                <c:pt idx="355">
                  <c:v>23:04</c:v>
                </c:pt>
                <c:pt idx="356">
                  <c:v>23:08</c:v>
                </c:pt>
                <c:pt idx="357">
                  <c:v>23:26</c:v>
                </c:pt>
                <c:pt idx="358">
                  <c:v>23:28</c:v>
                </c:pt>
                <c:pt idx="359">
                  <c:v>23:29</c:v>
                </c:pt>
                <c:pt idx="360">
                  <c:v>23:44</c:v>
                </c:pt>
                <c:pt idx="361">
                  <c:v>23:53</c:v>
                </c:pt>
                <c:pt idx="362">
                  <c:v>23:58</c:v>
                </c:pt>
              </c:strCache>
            </c:strRef>
          </c:cat>
          <c:val>
            <c:numRef>
              <c:f>Análisis!$R$82:$R$444</c:f>
              <c:numCache>
                <c:formatCode>General</c:formatCode>
                <c:ptCount val="363"/>
                <c:pt idx="0">
                  <c:v>41982</c:v>
                </c:pt>
                <c:pt idx="1">
                  <c:v>5970</c:v>
                </c:pt>
                <c:pt idx="2">
                  <c:v>47500</c:v>
                </c:pt>
                <c:pt idx="3">
                  <c:v>1178</c:v>
                </c:pt>
                <c:pt idx="4">
                  <c:v>22552</c:v>
                </c:pt>
                <c:pt idx="5">
                  <c:v>47988</c:v>
                </c:pt>
                <c:pt idx="6">
                  <c:v>500</c:v>
                </c:pt>
                <c:pt idx="7">
                  <c:v>10670</c:v>
                </c:pt>
                <c:pt idx="8">
                  <c:v>2926</c:v>
                </c:pt>
                <c:pt idx="9">
                  <c:v>10317</c:v>
                </c:pt>
                <c:pt idx="10">
                  <c:v>82</c:v>
                </c:pt>
                <c:pt idx="11">
                  <c:v>500</c:v>
                </c:pt>
                <c:pt idx="12">
                  <c:v>5519</c:v>
                </c:pt>
                <c:pt idx="13">
                  <c:v>11169</c:v>
                </c:pt>
                <c:pt idx="14">
                  <c:v>4377</c:v>
                </c:pt>
                <c:pt idx="15">
                  <c:v>1850</c:v>
                </c:pt>
                <c:pt idx="16">
                  <c:v>5031</c:v>
                </c:pt>
                <c:pt idx="17">
                  <c:v>12257</c:v>
                </c:pt>
                <c:pt idx="18">
                  <c:v>64276</c:v>
                </c:pt>
                <c:pt idx="19">
                  <c:v>15870</c:v>
                </c:pt>
                <c:pt idx="20">
                  <c:v>502</c:v>
                </c:pt>
                <c:pt idx="21">
                  <c:v>16848</c:v>
                </c:pt>
                <c:pt idx="22">
                  <c:v>1144</c:v>
                </c:pt>
                <c:pt idx="23">
                  <c:v>7967</c:v>
                </c:pt>
                <c:pt idx="24">
                  <c:v>6724</c:v>
                </c:pt>
                <c:pt idx="25">
                  <c:v>1256</c:v>
                </c:pt>
                <c:pt idx="26">
                  <c:v>10642</c:v>
                </c:pt>
                <c:pt idx="27">
                  <c:v>80</c:v>
                </c:pt>
                <c:pt idx="28">
                  <c:v>2285</c:v>
                </c:pt>
                <c:pt idx="29">
                  <c:v>2775</c:v>
                </c:pt>
                <c:pt idx="30">
                  <c:v>500</c:v>
                </c:pt>
                <c:pt idx="31">
                  <c:v>5000</c:v>
                </c:pt>
                <c:pt idx="32">
                  <c:v>3</c:v>
                </c:pt>
                <c:pt idx="33">
                  <c:v>69956</c:v>
                </c:pt>
                <c:pt idx="34">
                  <c:v>2968</c:v>
                </c:pt>
                <c:pt idx="35">
                  <c:v>24827</c:v>
                </c:pt>
                <c:pt idx="36">
                  <c:v>500</c:v>
                </c:pt>
                <c:pt idx="37">
                  <c:v>34734</c:v>
                </c:pt>
                <c:pt idx="38">
                  <c:v>1195</c:v>
                </c:pt>
                <c:pt idx="39">
                  <c:v>44416</c:v>
                </c:pt>
                <c:pt idx="40">
                  <c:v>250</c:v>
                </c:pt>
                <c:pt idx="41">
                  <c:v>11021</c:v>
                </c:pt>
                <c:pt idx="42">
                  <c:v>1628</c:v>
                </c:pt>
                <c:pt idx="43">
                  <c:v>4985</c:v>
                </c:pt>
                <c:pt idx="44">
                  <c:v>7612</c:v>
                </c:pt>
                <c:pt idx="45">
                  <c:v>60211</c:v>
                </c:pt>
                <c:pt idx="46">
                  <c:v>42883</c:v>
                </c:pt>
                <c:pt idx="47">
                  <c:v>500</c:v>
                </c:pt>
                <c:pt idx="48">
                  <c:v>46038</c:v>
                </c:pt>
                <c:pt idx="49">
                  <c:v>1702</c:v>
                </c:pt>
                <c:pt idx="50">
                  <c:v>5746</c:v>
                </c:pt>
                <c:pt idx="51">
                  <c:v>11128</c:v>
                </c:pt>
                <c:pt idx="52">
                  <c:v>5000</c:v>
                </c:pt>
                <c:pt idx="53">
                  <c:v>15816</c:v>
                </c:pt>
                <c:pt idx="54">
                  <c:v>77002</c:v>
                </c:pt>
                <c:pt idx="55">
                  <c:v>649560</c:v>
                </c:pt>
                <c:pt idx="56">
                  <c:v>47772</c:v>
                </c:pt>
                <c:pt idx="57">
                  <c:v>113056</c:v>
                </c:pt>
                <c:pt idx="58">
                  <c:v>259092</c:v>
                </c:pt>
                <c:pt idx="59">
                  <c:v>209324</c:v>
                </c:pt>
                <c:pt idx="60">
                  <c:v>87508</c:v>
                </c:pt>
                <c:pt idx="61">
                  <c:v>115221</c:v>
                </c:pt>
                <c:pt idx="62">
                  <c:v>11540</c:v>
                </c:pt>
                <c:pt idx="63">
                  <c:v>5307</c:v>
                </c:pt>
                <c:pt idx="64">
                  <c:v>4648</c:v>
                </c:pt>
                <c:pt idx="65">
                  <c:v>21548</c:v>
                </c:pt>
                <c:pt idx="66">
                  <c:v>500</c:v>
                </c:pt>
                <c:pt idx="67">
                  <c:v>5000</c:v>
                </c:pt>
                <c:pt idx="68">
                  <c:v>2035</c:v>
                </c:pt>
                <c:pt idx="69">
                  <c:v>4044</c:v>
                </c:pt>
                <c:pt idx="70">
                  <c:v>8917</c:v>
                </c:pt>
                <c:pt idx="71">
                  <c:v>1007</c:v>
                </c:pt>
                <c:pt idx="72">
                  <c:v>1500</c:v>
                </c:pt>
                <c:pt idx="73">
                  <c:v>2500</c:v>
                </c:pt>
                <c:pt idx="74">
                  <c:v>8429</c:v>
                </c:pt>
                <c:pt idx="75">
                  <c:v>33215</c:v>
                </c:pt>
                <c:pt idx="76">
                  <c:v>831094</c:v>
                </c:pt>
                <c:pt idx="77">
                  <c:v>142692</c:v>
                </c:pt>
                <c:pt idx="78">
                  <c:v>24168</c:v>
                </c:pt>
                <c:pt idx="79">
                  <c:v>69520</c:v>
                </c:pt>
                <c:pt idx="80">
                  <c:v>500</c:v>
                </c:pt>
                <c:pt idx="81">
                  <c:v>15032</c:v>
                </c:pt>
                <c:pt idx="82">
                  <c:v>1000</c:v>
                </c:pt>
                <c:pt idx="83">
                  <c:v>114651</c:v>
                </c:pt>
                <c:pt idx="84">
                  <c:v>5700</c:v>
                </c:pt>
                <c:pt idx="85">
                  <c:v>500</c:v>
                </c:pt>
                <c:pt idx="86">
                  <c:v>8161</c:v>
                </c:pt>
                <c:pt idx="87">
                  <c:v>195192</c:v>
                </c:pt>
                <c:pt idx="88">
                  <c:v>40810</c:v>
                </c:pt>
                <c:pt idx="89">
                  <c:v>5000</c:v>
                </c:pt>
                <c:pt idx="90">
                  <c:v>500</c:v>
                </c:pt>
                <c:pt idx="91">
                  <c:v>6664</c:v>
                </c:pt>
                <c:pt idx="92">
                  <c:v>170052</c:v>
                </c:pt>
                <c:pt idx="93">
                  <c:v>250</c:v>
                </c:pt>
                <c:pt idx="94">
                  <c:v>60968</c:v>
                </c:pt>
                <c:pt idx="95">
                  <c:v>84086</c:v>
                </c:pt>
                <c:pt idx="96">
                  <c:v>146240</c:v>
                </c:pt>
                <c:pt idx="97">
                  <c:v>410</c:v>
                </c:pt>
                <c:pt idx="98">
                  <c:v>525</c:v>
                </c:pt>
                <c:pt idx="99">
                  <c:v>34291</c:v>
                </c:pt>
                <c:pt idx="100">
                  <c:v>105949</c:v>
                </c:pt>
                <c:pt idx="101">
                  <c:v>19082</c:v>
                </c:pt>
                <c:pt idx="102">
                  <c:v>28130</c:v>
                </c:pt>
                <c:pt idx="103">
                  <c:v>8749</c:v>
                </c:pt>
                <c:pt idx="104">
                  <c:v>5000</c:v>
                </c:pt>
                <c:pt idx="105">
                  <c:v>72092</c:v>
                </c:pt>
                <c:pt idx="106">
                  <c:v>52038</c:v>
                </c:pt>
                <c:pt idx="107">
                  <c:v>10001</c:v>
                </c:pt>
                <c:pt idx="108">
                  <c:v>730</c:v>
                </c:pt>
                <c:pt idx="109">
                  <c:v>28191</c:v>
                </c:pt>
                <c:pt idx="110">
                  <c:v>34866</c:v>
                </c:pt>
                <c:pt idx="111">
                  <c:v>7582</c:v>
                </c:pt>
                <c:pt idx="112">
                  <c:v>500</c:v>
                </c:pt>
                <c:pt idx="113">
                  <c:v>10337</c:v>
                </c:pt>
                <c:pt idx="114">
                  <c:v>500</c:v>
                </c:pt>
                <c:pt idx="115">
                  <c:v>52686</c:v>
                </c:pt>
                <c:pt idx="116">
                  <c:v>500</c:v>
                </c:pt>
                <c:pt idx="117">
                  <c:v>5000</c:v>
                </c:pt>
                <c:pt idx="118">
                  <c:v>46258</c:v>
                </c:pt>
                <c:pt idx="119">
                  <c:v>5000</c:v>
                </c:pt>
                <c:pt idx="120">
                  <c:v>8086</c:v>
                </c:pt>
                <c:pt idx="121">
                  <c:v>5000</c:v>
                </c:pt>
                <c:pt idx="122">
                  <c:v>5500</c:v>
                </c:pt>
                <c:pt idx="123">
                  <c:v>88178</c:v>
                </c:pt>
                <c:pt idx="124">
                  <c:v>500</c:v>
                </c:pt>
                <c:pt idx="125">
                  <c:v>35654</c:v>
                </c:pt>
                <c:pt idx="126">
                  <c:v>23452</c:v>
                </c:pt>
                <c:pt idx="127">
                  <c:v>43784</c:v>
                </c:pt>
                <c:pt idx="128">
                  <c:v>21182</c:v>
                </c:pt>
                <c:pt idx="129">
                  <c:v>28180</c:v>
                </c:pt>
                <c:pt idx="130">
                  <c:v>5726</c:v>
                </c:pt>
                <c:pt idx="131">
                  <c:v>226394</c:v>
                </c:pt>
                <c:pt idx="132">
                  <c:v>46410</c:v>
                </c:pt>
                <c:pt idx="133">
                  <c:v>250</c:v>
                </c:pt>
                <c:pt idx="134">
                  <c:v>77345</c:v>
                </c:pt>
                <c:pt idx="135">
                  <c:v>1105</c:v>
                </c:pt>
                <c:pt idx="136">
                  <c:v>116726</c:v>
                </c:pt>
                <c:pt idx="137">
                  <c:v>5450</c:v>
                </c:pt>
                <c:pt idx="138">
                  <c:v>5000</c:v>
                </c:pt>
                <c:pt idx="139">
                  <c:v>20208</c:v>
                </c:pt>
                <c:pt idx="140">
                  <c:v>1000</c:v>
                </c:pt>
                <c:pt idx="141">
                  <c:v>4250</c:v>
                </c:pt>
                <c:pt idx="142">
                  <c:v>500</c:v>
                </c:pt>
                <c:pt idx="143">
                  <c:v>1362</c:v>
                </c:pt>
                <c:pt idx="144">
                  <c:v>17399</c:v>
                </c:pt>
                <c:pt idx="145">
                  <c:v>7731</c:v>
                </c:pt>
                <c:pt idx="146">
                  <c:v>50000</c:v>
                </c:pt>
                <c:pt idx="147">
                  <c:v>3993</c:v>
                </c:pt>
                <c:pt idx="148">
                  <c:v>11971</c:v>
                </c:pt>
                <c:pt idx="149">
                  <c:v>25502</c:v>
                </c:pt>
                <c:pt idx="150">
                  <c:v>18397</c:v>
                </c:pt>
                <c:pt idx="151">
                  <c:v>7975</c:v>
                </c:pt>
                <c:pt idx="152">
                  <c:v>54678</c:v>
                </c:pt>
                <c:pt idx="153">
                  <c:v>60</c:v>
                </c:pt>
                <c:pt idx="154">
                  <c:v>8396</c:v>
                </c:pt>
                <c:pt idx="155">
                  <c:v>33824</c:v>
                </c:pt>
                <c:pt idx="156">
                  <c:v>500</c:v>
                </c:pt>
                <c:pt idx="157">
                  <c:v>4400</c:v>
                </c:pt>
                <c:pt idx="158">
                  <c:v>976</c:v>
                </c:pt>
                <c:pt idx="159">
                  <c:v>755</c:v>
                </c:pt>
                <c:pt idx="160">
                  <c:v>45066</c:v>
                </c:pt>
                <c:pt idx="161">
                  <c:v>53468</c:v>
                </c:pt>
                <c:pt idx="162">
                  <c:v>25598</c:v>
                </c:pt>
                <c:pt idx="163">
                  <c:v>174394</c:v>
                </c:pt>
                <c:pt idx="164">
                  <c:v>500</c:v>
                </c:pt>
                <c:pt idx="165">
                  <c:v>45109</c:v>
                </c:pt>
                <c:pt idx="166">
                  <c:v>3206</c:v>
                </c:pt>
                <c:pt idx="167">
                  <c:v>2150</c:v>
                </c:pt>
                <c:pt idx="168">
                  <c:v>4000</c:v>
                </c:pt>
                <c:pt idx="169">
                  <c:v>5000</c:v>
                </c:pt>
                <c:pt idx="170">
                  <c:v>42605</c:v>
                </c:pt>
                <c:pt idx="171">
                  <c:v>500</c:v>
                </c:pt>
                <c:pt idx="172">
                  <c:v>4120</c:v>
                </c:pt>
                <c:pt idx="173">
                  <c:v>75949</c:v>
                </c:pt>
                <c:pt idx="174">
                  <c:v>14713</c:v>
                </c:pt>
                <c:pt idx="175">
                  <c:v>455</c:v>
                </c:pt>
                <c:pt idx="176">
                  <c:v>48091</c:v>
                </c:pt>
                <c:pt idx="177">
                  <c:v>315494</c:v>
                </c:pt>
                <c:pt idx="178">
                  <c:v>53734</c:v>
                </c:pt>
                <c:pt idx="179">
                  <c:v>533</c:v>
                </c:pt>
                <c:pt idx="180">
                  <c:v>6326</c:v>
                </c:pt>
                <c:pt idx="181">
                  <c:v>5500</c:v>
                </c:pt>
                <c:pt idx="182">
                  <c:v>17179</c:v>
                </c:pt>
                <c:pt idx="183">
                  <c:v>52049</c:v>
                </c:pt>
                <c:pt idx="184">
                  <c:v>23442</c:v>
                </c:pt>
                <c:pt idx="185">
                  <c:v>100</c:v>
                </c:pt>
                <c:pt idx="186">
                  <c:v>71768</c:v>
                </c:pt>
                <c:pt idx="187">
                  <c:v>121198</c:v>
                </c:pt>
                <c:pt idx="188">
                  <c:v>613314</c:v>
                </c:pt>
                <c:pt idx="189">
                  <c:v>8755</c:v>
                </c:pt>
                <c:pt idx="190">
                  <c:v>9900</c:v>
                </c:pt>
                <c:pt idx="191">
                  <c:v>54835</c:v>
                </c:pt>
                <c:pt idx="192">
                  <c:v>73254</c:v>
                </c:pt>
                <c:pt idx="193">
                  <c:v>2130</c:v>
                </c:pt>
                <c:pt idx="194">
                  <c:v>862</c:v>
                </c:pt>
                <c:pt idx="195">
                  <c:v>100</c:v>
                </c:pt>
                <c:pt idx="196">
                  <c:v>8010</c:v>
                </c:pt>
                <c:pt idx="197">
                  <c:v>200</c:v>
                </c:pt>
                <c:pt idx="198">
                  <c:v>20266</c:v>
                </c:pt>
                <c:pt idx="199">
                  <c:v>4047</c:v>
                </c:pt>
                <c:pt idx="200">
                  <c:v>5000</c:v>
                </c:pt>
                <c:pt idx="201">
                  <c:v>158424</c:v>
                </c:pt>
                <c:pt idx="202">
                  <c:v>64136</c:v>
                </c:pt>
                <c:pt idx="203">
                  <c:v>132364</c:v>
                </c:pt>
                <c:pt idx="204">
                  <c:v>13426</c:v>
                </c:pt>
                <c:pt idx="205">
                  <c:v>1500</c:v>
                </c:pt>
                <c:pt idx="206">
                  <c:v>500</c:v>
                </c:pt>
                <c:pt idx="207">
                  <c:v>7552</c:v>
                </c:pt>
                <c:pt idx="208">
                  <c:v>47786</c:v>
                </c:pt>
                <c:pt idx="209">
                  <c:v>60610</c:v>
                </c:pt>
                <c:pt idx="210">
                  <c:v>89992</c:v>
                </c:pt>
                <c:pt idx="211">
                  <c:v>3789</c:v>
                </c:pt>
                <c:pt idx="212">
                  <c:v>24198</c:v>
                </c:pt>
                <c:pt idx="213">
                  <c:v>7500</c:v>
                </c:pt>
                <c:pt idx="214">
                  <c:v>1000</c:v>
                </c:pt>
                <c:pt idx="215">
                  <c:v>54118</c:v>
                </c:pt>
                <c:pt idx="216">
                  <c:v>185822</c:v>
                </c:pt>
                <c:pt idx="217">
                  <c:v>500</c:v>
                </c:pt>
                <c:pt idx="218">
                  <c:v>52663</c:v>
                </c:pt>
                <c:pt idx="219">
                  <c:v>22239</c:v>
                </c:pt>
                <c:pt idx="220">
                  <c:v>6543</c:v>
                </c:pt>
                <c:pt idx="221">
                  <c:v>3242</c:v>
                </c:pt>
                <c:pt idx="222">
                  <c:v>500</c:v>
                </c:pt>
                <c:pt idx="223">
                  <c:v>247213</c:v>
                </c:pt>
                <c:pt idx="224">
                  <c:v>179198</c:v>
                </c:pt>
                <c:pt idx="225">
                  <c:v>164335</c:v>
                </c:pt>
                <c:pt idx="226">
                  <c:v>95750</c:v>
                </c:pt>
                <c:pt idx="227">
                  <c:v>58500</c:v>
                </c:pt>
                <c:pt idx="228">
                  <c:v>70230</c:v>
                </c:pt>
                <c:pt idx="229">
                  <c:v>83672</c:v>
                </c:pt>
                <c:pt idx="230">
                  <c:v>500</c:v>
                </c:pt>
                <c:pt idx="231">
                  <c:v>58772</c:v>
                </c:pt>
                <c:pt idx="232">
                  <c:v>500</c:v>
                </c:pt>
                <c:pt idx="233">
                  <c:v>520</c:v>
                </c:pt>
                <c:pt idx="234">
                  <c:v>285922</c:v>
                </c:pt>
                <c:pt idx="235">
                  <c:v>29809</c:v>
                </c:pt>
                <c:pt idx="236">
                  <c:v>4865</c:v>
                </c:pt>
                <c:pt idx="237">
                  <c:v>83880</c:v>
                </c:pt>
                <c:pt idx="238">
                  <c:v>248446</c:v>
                </c:pt>
                <c:pt idx="239">
                  <c:v>110275</c:v>
                </c:pt>
                <c:pt idx="240">
                  <c:v>50000</c:v>
                </c:pt>
                <c:pt idx="241">
                  <c:v>7432</c:v>
                </c:pt>
                <c:pt idx="242">
                  <c:v>1075</c:v>
                </c:pt>
                <c:pt idx="243">
                  <c:v>5000</c:v>
                </c:pt>
                <c:pt idx="244">
                  <c:v>58558</c:v>
                </c:pt>
                <c:pt idx="245">
                  <c:v>4973</c:v>
                </c:pt>
                <c:pt idx="246">
                  <c:v>24663</c:v>
                </c:pt>
                <c:pt idx="247">
                  <c:v>29546</c:v>
                </c:pt>
                <c:pt idx="248">
                  <c:v>1178</c:v>
                </c:pt>
                <c:pt idx="249">
                  <c:v>78260</c:v>
                </c:pt>
                <c:pt idx="250">
                  <c:v>24390</c:v>
                </c:pt>
                <c:pt idx="251">
                  <c:v>718</c:v>
                </c:pt>
                <c:pt idx="252">
                  <c:v>22744</c:v>
                </c:pt>
                <c:pt idx="253">
                  <c:v>1450</c:v>
                </c:pt>
                <c:pt idx="254">
                  <c:v>5000</c:v>
                </c:pt>
                <c:pt idx="255">
                  <c:v>253418</c:v>
                </c:pt>
                <c:pt idx="256">
                  <c:v>4501</c:v>
                </c:pt>
                <c:pt idx="257">
                  <c:v>53104</c:v>
                </c:pt>
                <c:pt idx="258">
                  <c:v>4500</c:v>
                </c:pt>
                <c:pt idx="259">
                  <c:v>12803</c:v>
                </c:pt>
                <c:pt idx="260">
                  <c:v>12891</c:v>
                </c:pt>
                <c:pt idx="261">
                  <c:v>1380</c:v>
                </c:pt>
                <c:pt idx="262">
                  <c:v>14615</c:v>
                </c:pt>
                <c:pt idx="263">
                  <c:v>40748</c:v>
                </c:pt>
                <c:pt idx="264">
                  <c:v>17164</c:v>
                </c:pt>
                <c:pt idx="265">
                  <c:v>56816</c:v>
                </c:pt>
                <c:pt idx="266">
                  <c:v>11195</c:v>
                </c:pt>
                <c:pt idx="267">
                  <c:v>28265</c:v>
                </c:pt>
                <c:pt idx="268">
                  <c:v>1450</c:v>
                </c:pt>
                <c:pt idx="269">
                  <c:v>2396</c:v>
                </c:pt>
                <c:pt idx="270">
                  <c:v>36127</c:v>
                </c:pt>
                <c:pt idx="271">
                  <c:v>43908</c:v>
                </c:pt>
                <c:pt idx="272">
                  <c:v>1516</c:v>
                </c:pt>
                <c:pt idx="273">
                  <c:v>500</c:v>
                </c:pt>
                <c:pt idx="274">
                  <c:v>89824</c:v>
                </c:pt>
                <c:pt idx="275">
                  <c:v>32359</c:v>
                </c:pt>
                <c:pt idx="276">
                  <c:v>20545</c:v>
                </c:pt>
                <c:pt idx="277">
                  <c:v>20480</c:v>
                </c:pt>
                <c:pt idx="278">
                  <c:v>19641</c:v>
                </c:pt>
                <c:pt idx="279">
                  <c:v>22352</c:v>
                </c:pt>
                <c:pt idx="280">
                  <c:v>24466</c:v>
                </c:pt>
                <c:pt idx="281">
                  <c:v>155121</c:v>
                </c:pt>
                <c:pt idx="282">
                  <c:v>5000</c:v>
                </c:pt>
                <c:pt idx="283">
                  <c:v>16630</c:v>
                </c:pt>
                <c:pt idx="284">
                  <c:v>3184</c:v>
                </c:pt>
                <c:pt idx="285">
                  <c:v>4474</c:v>
                </c:pt>
                <c:pt idx="286">
                  <c:v>15284</c:v>
                </c:pt>
                <c:pt idx="287">
                  <c:v>225125</c:v>
                </c:pt>
                <c:pt idx="288">
                  <c:v>349386</c:v>
                </c:pt>
                <c:pt idx="289">
                  <c:v>23857</c:v>
                </c:pt>
                <c:pt idx="290">
                  <c:v>565</c:v>
                </c:pt>
                <c:pt idx="291">
                  <c:v>500</c:v>
                </c:pt>
                <c:pt idx="292">
                  <c:v>100</c:v>
                </c:pt>
                <c:pt idx="293">
                  <c:v>10105</c:v>
                </c:pt>
                <c:pt idx="294">
                  <c:v>63224</c:v>
                </c:pt>
                <c:pt idx="295">
                  <c:v>8551</c:v>
                </c:pt>
                <c:pt idx="296">
                  <c:v>5000</c:v>
                </c:pt>
                <c:pt idx="297">
                  <c:v>4402</c:v>
                </c:pt>
                <c:pt idx="298">
                  <c:v>200</c:v>
                </c:pt>
                <c:pt idx="299">
                  <c:v>6338</c:v>
                </c:pt>
                <c:pt idx="300">
                  <c:v>5716</c:v>
                </c:pt>
                <c:pt idx="301">
                  <c:v>1556</c:v>
                </c:pt>
                <c:pt idx="302">
                  <c:v>500</c:v>
                </c:pt>
                <c:pt idx="303">
                  <c:v>10074</c:v>
                </c:pt>
                <c:pt idx="304">
                  <c:v>4755</c:v>
                </c:pt>
                <c:pt idx="305">
                  <c:v>20988</c:v>
                </c:pt>
                <c:pt idx="306">
                  <c:v>1905</c:v>
                </c:pt>
                <c:pt idx="307">
                  <c:v>116906</c:v>
                </c:pt>
                <c:pt idx="308">
                  <c:v>5000</c:v>
                </c:pt>
                <c:pt idx="309">
                  <c:v>5000</c:v>
                </c:pt>
                <c:pt idx="310">
                  <c:v>14108</c:v>
                </c:pt>
                <c:pt idx="311">
                  <c:v>250</c:v>
                </c:pt>
                <c:pt idx="312">
                  <c:v>4750</c:v>
                </c:pt>
                <c:pt idx="313">
                  <c:v>1000</c:v>
                </c:pt>
                <c:pt idx="314">
                  <c:v>1105</c:v>
                </c:pt>
                <c:pt idx="315">
                  <c:v>500</c:v>
                </c:pt>
                <c:pt idx="316">
                  <c:v>27868</c:v>
                </c:pt>
                <c:pt idx="317">
                  <c:v>8497</c:v>
                </c:pt>
                <c:pt idx="318">
                  <c:v>244784</c:v>
                </c:pt>
                <c:pt idx="319">
                  <c:v>106529</c:v>
                </c:pt>
                <c:pt idx="320">
                  <c:v>21023</c:v>
                </c:pt>
                <c:pt idx="321">
                  <c:v>5250</c:v>
                </c:pt>
                <c:pt idx="322">
                  <c:v>1004</c:v>
                </c:pt>
                <c:pt idx="323">
                  <c:v>6767</c:v>
                </c:pt>
                <c:pt idx="324">
                  <c:v>61453</c:v>
                </c:pt>
                <c:pt idx="325">
                  <c:v>66453</c:v>
                </c:pt>
                <c:pt idx="326">
                  <c:v>25614</c:v>
                </c:pt>
                <c:pt idx="327">
                  <c:v>331</c:v>
                </c:pt>
                <c:pt idx="328">
                  <c:v>22230</c:v>
                </c:pt>
                <c:pt idx="329">
                  <c:v>13313</c:v>
                </c:pt>
                <c:pt idx="330">
                  <c:v>2047</c:v>
                </c:pt>
                <c:pt idx="331">
                  <c:v>2745</c:v>
                </c:pt>
                <c:pt idx="332">
                  <c:v>5569</c:v>
                </c:pt>
                <c:pt idx="333">
                  <c:v>368</c:v>
                </c:pt>
                <c:pt idx="334">
                  <c:v>14715</c:v>
                </c:pt>
                <c:pt idx="335">
                  <c:v>3637</c:v>
                </c:pt>
                <c:pt idx="336">
                  <c:v>243</c:v>
                </c:pt>
                <c:pt idx="337">
                  <c:v>54820</c:v>
                </c:pt>
                <c:pt idx="338">
                  <c:v>3329</c:v>
                </c:pt>
                <c:pt idx="339">
                  <c:v>5650</c:v>
                </c:pt>
                <c:pt idx="340">
                  <c:v>4786</c:v>
                </c:pt>
                <c:pt idx="341">
                  <c:v>163</c:v>
                </c:pt>
                <c:pt idx="342">
                  <c:v>600</c:v>
                </c:pt>
                <c:pt idx="343">
                  <c:v>500</c:v>
                </c:pt>
                <c:pt idx="344">
                  <c:v>2322</c:v>
                </c:pt>
                <c:pt idx="345">
                  <c:v>19110</c:v>
                </c:pt>
                <c:pt idx="346">
                  <c:v>27588</c:v>
                </c:pt>
                <c:pt idx="347">
                  <c:v>29747</c:v>
                </c:pt>
                <c:pt idx="348">
                  <c:v>5150</c:v>
                </c:pt>
                <c:pt idx="349">
                  <c:v>25758</c:v>
                </c:pt>
                <c:pt idx="350">
                  <c:v>3750</c:v>
                </c:pt>
                <c:pt idx="351">
                  <c:v>5000</c:v>
                </c:pt>
                <c:pt idx="352">
                  <c:v>9150</c:v>
                </c:pt>
                <c:pt idx="353">
                  <c:v>4100</c:v>
                </c:pt>
                <c:pt idx="354">
                  <c:v>3752</c:v>
                </c:pt>
                <c:pt idx="355">
                  <c:v>25</c:v>
                </c:pt>
                <c:pt idx="356">
                  <c:v>803</c:v>
                </c:pt>
                <c:pt idx="357">
                  <c:v>50</c:v>
                </c:pt>
                <c:pt idx="358">
                  <c:v>5500</c:v>
                </c:pt>
                <c:pt idx="359">
                  <c:v>5000</c:v>
                </c:pt>
                <c:pt idx="360">
                  <c:v>250</c:v>
                </c:pt>
                <c:pt idx="361">
                  <c:v>1181</c:v>
                </c:pt>
                <c:pt idx="362">
                  <c:v>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2D-4C5E-90AF-F1DE5B7990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312784"/>
        <c:axId val="898188752"/>
      </c:lineChart>
      <c:catAx>
        <c:axId val="39312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898188752"/>
        <c:crosses val="autoZero"/>
        <c:auto val="1"/>
        <c:lblAlgn val="ctr"/>
        <c:lblOffset val="100"/>
        <c:noMultiLvlLbl val="0"/>
      </c:catAx>
      <c:valAx>
        <c:axId val="898188752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39312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[ANALISIS DB MERCADO LIBRE FINAL.xlsm]Análisis!TablaDinámica6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Fira Sans Medium" panose="020B0603050000020004" pitchFamily="34" charset="0"/>
                <a:ea typeface="+mn-ea"/>
                <a:cs typeface="+mn-cs"/>
              </a:defRPr>
            </a:pPr>
            <a:r>
              <a:rPr lang="en-US" sz="1800">
                <a:latin typeface="Fira Sans Medium" panose="020B0603050000020004" pitchFamily="34" charset="0"/>
              </a:rPr>
              <a:t>Rango de precios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Fira Sans Medium" panose="020B0603050000020004" pitchFamily="34" charset="0"/>
              <a:ea typeface="+mn-ea"/>
              <a:cs typeface="+mn-cs"/>
            </a:defRPr>
          </a:pPr>
          <a:endParaRPr lang="es-A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rgbClr val="8CC0A1"/>
          </a:solidFill>
          <a:ln>
            <a:noFill/>
          </a:ln>
          <a:effectLst/>
        </c:spPr>
      </c:pivotFmt>
      <c:pivotFmt>
        <c:idx val="4"/>
        <c:spPr>
          <a:solidFill>
            <a:srgbClr val="FFCD29"/>
          </a:solidFill>
          <a:ln>
            <a:noFill/>
          </a:ln>
          <a:effectLst/>
        </c:spPr>
      </c:pivotFmt>
      <c:pivotFmt>
        <c:idx val="5"/>
        <c:spPr>
          <a:solidFill>
            <a:srgbClr val="B8D2FF"/>
          </a:solidFill>
          <a:ln>
            <a:noFill/>
          </a:ln>
          <a:effectLst/>
        </c:spPr>
      </c:pivotFmt>
      <c:pivotFmt>
        <c:idx val="6"/>
        <c:spPr>
          <a:solidFill>
            <a:srgbClr val="14483E"/>
          </a:solidFill>
          <a:ln>
            <a:noFill/>
          </a:ln>
          <a:effectLst/>
        </c:spPr>
      </c:pivotFmt>
      <c:pivotFmt>
        <c:idx val="7"/>
        <c:spPr>
          <a:solidFill>
            <a:srgbClr val="0070C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Análisis!$B$110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8CC0A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118-48A4-83E3-1C0DA0780796}"/>
              </c:ext>
            </c:extLst>
          </c:dPt>
          <c:dPt>
            <c:idx val="1"/>
            <c:invertIfNegative val="0"/>
            <c:bubble3D val="0"/>
            <c:spPr>
              <a:solidFill>
                <a:srgbClr val="B8D2FF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E118-48A4-83E3-1C0DA0780796}"/>
              </c:ext>
            </c:extLst>
          </c:dPt>
          <c:dPt>
            <c:idx val="2"/>
            <c:invertIfNegative val="0"/>
            <c:bubble3D val="0"/>
            <c:spPr>
              <a:solidFill>
                <a:srgbClr val="14483E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118-48A4-83E3-1C0DA078079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E118-48A4-83E3-1C0DA0780796}"/>
              </c:ext>
            </c:extLst>
          </c:dPt>
          <c:dPt>
            <c:idx val="4"/>
            <c:invertIfNegative val="0"/>
            <c:bubble3D val="0"/>
            <c:spPr>
              <a:solidFill>
                <a:srgbClr val="FFCD29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118-48A4-83E3-1C0DA0780796}"/>
              </c:ext>
            </c:extLst>
          </c:dPt>
          <c:cat>
            <c:strRef>
              <c:f>Análisis!$A$111:$A$115</c:f>
              <c:strCache>
                <c:ptCount val="5"/>
                <c:pt idx="0">
                  <c:v>$4.001.990 - $5.001.989</c:v>
                </c:pt>
                <c:pt idx="1">
                  <c:v>$2.001.990 - $3.001.989</c:v>
                </c:pt>
                <c:pt idx="2">
                  <c:v>$1.001.990 - $2.001.989</c:v>
                </c:pt>
                <c:pt idx="3">
                  <c:v>$1990 - $1.001.989</c:v>
                </c:pt>
                <c:pt idx="4">
                  <c:v>$3.001.990 - $4.001.989</c:v>
                </c:pt>
              </c:strCache>
            </c:strRef>
          </c:cat>
          <c:val>
            <c:numRef>
              <c:f>Análisis!$B$111:$B$115</c:f>
              <c:numCache>
                <c:formatCode>_-* #,##0_-;\-* #,##0_-;_-* "-"??_-;_-@_-</c:formatCode>
                <c:ptCount val="5"/>
                <c:pt idx="0">
                  <c:v>3255</c:v>
                </c:pt>
                <c:pt idx="1">
                  <c:v>16276.2</c:v>
                </c:pt>
                <c:pt idx="2">
                  <c:v>17405.45</c:v>
                </c:pt>
                <c:pt idx="3">
                  <c:v>26449.292089249491</c:v>
                </c:pt>
                <c:pt idx="4">
                  <c:v>34126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18-48A4-83E3-1C0DA07807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92317568"/>
        <c:axId val="434322304"/>
      </c:barChart>
      <c:catAx>
        <c:axId val="14923175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434322304"/>
        <c:crosses val="autoZero"/>
        <c:auto val="1"/>
        <c:lblAlgn val="ctr"/>
        <c:lblOffset val="100"/>
        <c:noMultiLvlLbl val="0"/>
      </c:catAx>
      <c:valAx>
        <c:axId val="43432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4923175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svg"/><Relationship Id="rId3" Type="http://schemas.openxmlformats.org/officeDocument/2006/relationships/chart" Target="../charts/chart3.xml"/><Relationship Id="rId7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image" Target="../media/image2.svg"/><Relationship Id="rId5" Type="http://schemas.openxmlformats.org/officeDocument/2006/relationships/image" Target="../media/image1.png"/><Relationship Id="rId10" Type="http://schemas.openxmlformats.org/officeDocument/2006/relationships/image" Target="../media/image6.svg"/><Relationship Id="rId4" Type="http://schemas.openxmlformats.org/officeDocument/2006/relationships/chart" Target="../charts/chart4.xml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8.svg"/><Relationship Id="rId1" Type="http://schemas.openxmlformats.org/officeDocument/2006/relationships/image" Target="../media/image7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13" Type="http://schemas.openxmlformats.org/officeDocument/2006/relationships/image" Target="../media/image19.svg"/><Relationship Id="rId18" Type="http://schemas.openxmlformats.org/officeDocument/2006/relationships/image" Target="../media/image3.png"/><Relationship Id="rId3" Type="http://schemas.openxmlformats.org/officeDocument/2006/relationships/chart" Target="../charts/chart7.xml"/><Relationship Id="rId21" Type="http://schemas.openxmlformats.org/officeDocument/2006/relationships/image" Target="../media/image21.svg"/><Relationship Id="rId7" Type="http://schemas.openxmlformats.org/officeDocument/2006/relationships/image" Target="../media/image13.png"/><Relationship Id="rId12" Type="http://schemas.openxmlformats.org/officeDocument/2006/relationships/image" Target="../media/image18.png"/><Relationship Id="rId17" Type="http://schemas.openxmlformats.org/officeDocument/2006/relationships/image" Target="../media/image2.svg"/><Relationship Id="rId25" Type="http://schemas.openxmlformats.org/officeDocument/2006/relationships/image" Target="../media/image25.svg"/><Relationship Id="rId2" Type="http://schemas.openxmlformats.org/officeDocument/2006/relationships/chart" Target="../charts/chart6.xml"/><Relationship Id="rId16" Type="http://schemas.openxmlformats.org/officeDocument/2006/relationships/image" Target="../media/image1.png"/><Relationship Id="rId20" Type="http://schemas.openxmlformats.org/officeDocument/2006/relationships/image" Target="../media/image20.png"/><Relationship Id="rId1" Type="http://schemas.openxmlformats.org/officeDocument/2006/relationships/chart" Target="../charts/chart5.xml"/><Relationship Id="rId6" Type="http://schemas.openxmlformats.org/officeDocument/2006/relationships/image" Target="../media/image12.svg"/><Relationship Id="rId11" Type="http://schemas.openxmlformats.org/officeDocument/2006/relationships/image" Target="../media/image17.svg"/><Relationship Id="rId24" Type="http://schemas.openxmlformats.org/officeDocument/2006/relationships/image" Target="../media/image24.png"/><Relationship Id="rId5" Type="http://schemas.openxmlformats.org/officeDocument/2006/relationships/image" Target="../media/image11.png"/><Relationship Id="rId15" Type="http://schemas.openxmlformats.org/officeDocument/2006/relationships/image" Target="../media/image8.svg"/><Relationship Id="rId23" Type="http://schemas.openxmlformats.org/officeDocument/2006/relationships/image" Target="../media/image23.svg"/><Relationship Id="rId10" Type="http://schemas.openxmlformats.org/officeDocument/2006/relationships/image" Target="../media/image16.png"/><Relationship Id="rId19" Type="http://schemas.openxmlformats.org/officeDocument/2006/relationships/image" Target="../media/image4.svg"/><Relationship Id="rId4" Type="http://schemas.openxmlformats.org/officeDocument/2006/relationships/chart" Target="../charts/chart8.xml"/><Relationship Id="rId9" Type="http://schemas.openxmlformats.org/officeDocument/2006/relationships/image" Target="../media/image15.svg"/><Relationship Id="rId14" Type="http://schemas.openxmlformats.org/officeDocument/2006/relationships/image" Target="../media/image7.png"/><Relationship Id="rId22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99060</xdr:rowOff>
    </xdr:from>
    <xdr:to>
      <xdr:col>13</xdr:col>
      <xdr:colOff>64477</xdr:colOff>
      <xdr:row>41</xdr:row>
      <xdr:rowOff>45720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id="{5A1AE607-8D1D-4083-B985-6920A3BED96F}"/>
            </a:ext>
          </a:extLst>
        </xdr:cNvPr>
        <xdr:cNvSpPr txBox="1"/>
      </xdr:nvSpPr>
      <xdr:spPr>
        <a:xfrm>
          <a:off x="0" y="99060"/>
          <a:ext cx="13208977" cy="744474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aseline="0">
              <a:latin typeface="Fira Sans Medium" panose="020B0603050000020004" pitchFamily="34" charset="0"/>
            </a:rPr>
            <a:t>Data Wrangling</a:t>
          </a:r>
        </a:p>
        <a:p>
          <a:r>
            <a:rPr lang="es-AR" sz="1100" baseline="0">
              <a:latin typeface="Fira Sans Medium" panose="020B0603050000020004" pitchFamily="34" charset="0"/>
            </a:rPr>
            <a:t>Mercado Libre es una empresa consolidada en el mercado que sirve de marketplace a nivel mundial para la compra y venta de productos de todo tipo.</a:t>
          </a:r>
        </a:p>
        <a:p>
          <a:r>
            <a:rPr lang="es-AR" sz="1100" baseline="0">
              <a:latin typeface="Fira Sans Medium" panose="020B0603050000020004" pitchFamily="34" charset="0"/>
            </a:rPr>
            <a:t>El DB muestra las ventas en el mes de septiembre de 2023.</a:t>
          </a:r>
        </a:p>
        <a:p>
          <a:endParaRPr lang="es-AR" sz="1100" baseline="0">
            <a:latin typeface="Fira Sans Medium" panose="020B0603050000020004" pitchFamily="34" charset="0"/>
          </a:endParaRPr>
        </a:p>
        <a:p>
          <a:r>
            <a:rPr lang="es-AR" sz="1100" baseline="0">
              <a:latin typeface="Fira Sans Medium" panose="020B0603050000020004" pitchFamily="34" charset="0"/>
            </a:rPr>
            <a:t>La misma cuenta con las siguientes columnas:</a:t>
          </a:r>
        </a:p>
        <a:p>
          <a:r>
            <a:rPr lang="es-AR" sz="1100" baseline="0">
              <a:latin typeface="Fira Sans Medium" panose="020B0603050000020004" pitchFamily="34" charset="0"/>
            </a:rPr>
            <a:t>id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category_name</a:t>
          </a:r>
          <a:r>
            <a:rPr lang="es-AR">
              <a:latin typeface="Fira Sans Medium" panose="020B0603050000020004" pitchFamily="34" charset="0"/>
            </a:rPr>
            <a:t> 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sold_quantity</a:t>
          </a:r>
          <a:r>
            <a:rPr lang="es-AR">
              <a:latin typeface="Fira Sans Medium" panose="020B0603050000020004" pitchFamily="34" charset="0"/>
            </a:rPr>
            <a:t> 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name	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price</a:t>
          </a:r>
          <a:r>
            <a:rPr lang="es-AR">
              <a:latin typeface="Fira Sans Medium" panose="020B0603050000020004" pitchFamily="34" charset="0"/>
            </a:rPr>
            <a:t> 	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date_created</a:t>
          </a:r>
          <a:r>
            <a:rPr lang="es-AR">
              <a:latin typeface="Fira Sans Medium" panose="020B0603050000020004" pitchFamily="34" charset="0"/>
            </a:rPr>
            <a:t> </a:t>
          </a:r>
        </a:p>
        <a:p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Product_sale_time</a:t>
          </a:r>
          <a:r>
            <a:rPr lang="es-AR">
              <a:latin typeface="Fira Sans Medium" panose="020B0603050000020004" pitchFamily="34" charset="0"/>
            </a:rPr>
            <a:t> </a:t>
          </a:r>
          <a:br>
            <a:rPr lang="es-AR">
              <a:latin typeface="Fira Sans Medium" panose="020B0603050000020004" pitchFamily="34" charset="0"/>
            </a:rPr>
          </a:br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category_id</a:t>
          </a:r>
          <a:r>
            <a:rPr lang="es-AR">
              <a:latin typeface="Fira Sans Medium" panose="020B0603050000020004" pitchFamily="34" charset="0"/>
            </a:rPr>
            <a:t> </a:t>
          </a:r>
          <a:br>
            <a:rPr lang="es-AR">
              <a:latin typeface="Fira Sans Medium" panose="020B0603050000020004" pitchFamily="34" charset="0"/>
            </a:rPr>
          </a:br>
          <a:r>
            <a:rPr lang="es-AR" sz="1100" b="1" i="0" u="none" strike="noStrike">
              <a:solidFill>
                <a:schemeClr val="dk1"/>
              </a:solidFill>
              <a:effectLst/>
              <a:latin typeface="Fira Sans Medium" panose="020B0603050000020004" pitchFamily="34" charset="0"/>
              <a:ea typeface="+mn-ea"/>
              <a:cs typeface="+mn-cs"/>
            </a:rPr>
            <a:t>entity_type</a:t>
          </a:r>
          <a:r>
            <a:rPr lang="es-AR">
              <a:latin typeface="Fira Sans Medium" panose="020B0603050000020004" pitchFamily="34" charset="0"/>
            </a:rPr>
            <a:t> </a:t>
          </a:r>
        </a:p>
        <a:p>
          <a:endParaRPr lang="es-AR">
            <a:latin typeface="Fira Sans Medium" panose="020B0603050000020004" pitchFamily="34" charset="0"/>
          </a:endParaRPr>
        </a:p>
        <a:p>
          <a:endParaRPr lang="es-AR">
            <a:latin typeface="Fira Sans Medium" panose="020B0603050000020004" pitchFamily="34" charset="0"/>
          </a:endParaRPr>
        </a:p>
        <a:p>
          <a:endParaRPr lang="es-AR">
            <a:latin typeface="Fira Sans Medium" panose="020B0603050000020004" pitchFamily="34" charset="0"/>
          </a:endParaRPr>
        </a:p>
        <a:p>
          <a:endParaRPr lang="es-AR">
            <a:latin typeface="Fira Sans Medium" panose="020B0603050000020004" pitchFamily="34" charset="0"/>
          </a:endParaRPr>
        </a:p>
        <a:p>
          <a:endParaRPr lang="es-AR">
            <a:latin typeface="Fira Sans Medium" panose="020B0603050000020004" pitchFamily="34" charset="0"/>
          </a:endParaRPr>
        </a:p>
        <a:p>
          <a:r>
            <a:rPr lang="es-AR" sz="2800">
              <a:latin typeface="Fira Sans Medium" panose="020B0603050000020004" pitchFamily="34" charset="0"/>
            </a:rPr>
            <a:t>                             Análisis</a:t>
          </a:r>
          <a:r>
            <a:rPr lang="es-AR" sz="2800" baseline="0">
              <a:latin typeface="Fira Sans Medium" panose="020B0603050000020004" pitchFamily="34" charset="0"/>
            </a:rPr>
            <a:t> exploratorio de los datos</a:t>
          </a:r>
          <a:endParaRPr lang="es-AR" sz="2800">
            <a:latin typeface="Fira Sans Medium" panose="020B0603050000020004" pitchFamily="34" charset="0"/>
          </a:endParaRPr>
        </a:p>
        <a:p>
          <a:endParaRPr lang="es-AR">
            <a:latin typeface="Fira Sans Medium" panose="020B0603050000020004" pitchFamily="34" charset="0"/>
          </a:endParaRPr>
        </a:p>
        <a:p>
          <a:r>
            <a:rPr lang="es-AR" b="0">
              <a:latin typeface="Fira Sans Medium" panose="020B0603050000020004" pitchFamily="34" charset="0"/>
            </a:rPr>
            <a:t>Se</a:t>
          </a:r>
          <a:r>
            <a:rPr lang="es-AR" b="0" baseline="0">
              <a:latin typeface="Fira Sans Medium" panose="020B0603050000020004" pitchFamily="34" charset="0"/>
            </a:rPr>
            <a:t> tomará a esta base de datos como si fuera un dataset que se entrega mes a mes al área de análisis de datos.</a:t>
          </a:r>
        </a:p>
        <a:p>
          <a:endParaRPr lang="es-AR" b="0" baseline="0">
            <a:latin typeface="Fira Sans Medium" panose="020B0603050000020004" pitchFamily="34" charset="0"/>
          </a:endParaRPr>
        </a:p>
        <a:p>
          <a:endParaRPr lang="es-AR" b="0" baseline="0">
            <a:latin typeface="Fira Sans Medium" panose="020B0603050000020004" pitchFamily="34" charset="0"/>
          </a:endParaRPr>
        </a:p>
        <a:p>
          <a:r>
            <a:rPr lang="es-AR" b="0" u="none" baseline="0">
              <a:latin typeface="Fira Sans Medium" panose="020B0603050000020004" pitchFamily="34" charset="0"/>
            </a:rPr>
            <a:t>Las consignas que tiene que quedar respondidas son:</a:t>
          </a:r>
        </a:p>
        <a:p>
          <a:r>
            <a:rPr lang="es-AR" b="1" u="sng" baseline="0">
              <a:latin typeface="Fira Sans Medium" panose="020B0603050000020004" pitchFamily="34" charset="0"/>
            </a:rPr>
            <a:t>Top 5 categoría de mayor venta </a:t>
          </a:r>
        </a:p>
        <a:p>
          <a:r>
            <a:rPr lang="es-AR" b="1" u="sng" baseline="0">
              <a:latin typeface="Fira Sans Medium" panose="020B0603050000020004" pitchFamily="34" charset="0"/>
            </a:rPr>
            <a:t>Artículos más vendido</a:t>
          </a:r>
        </a:p>
        <a:p>
          <a:r>
            <a:rPr lang="es-AR" b="1" u="sng" baseline="0">
              <a:latin typeface="Fira Sans Medium" panose="020B0603050000020004" pitchFamily="34" charset="0"/>
            </a:rPr>
            <a:t>horario de mayor ventas en el día: Cuál es el mejor horario para publicitar?</a:t>
          </a:r>
        </a:p>
        <a:p>
          <a:r>
            <a:rPr lang="es-AR" b="1" u="sng" baseline="0">
              <a:latin typeface="Fira Sans Medium" panose="020B0603050000020004" pitchFamily="34" charset="0"/>
            </a:rPr>
            <a:t>Rango de precios de los productos más vendidos </a:t>
          </a:r>
        </a:p>
        <a:p>
          <a:r>
            <a:rPr lang="es-AR" b="1" u="sng" baseline="0">
              <a:latin typeface="Fira Sans Medium" panose="020B0603050000020004" pitchFamily="34" charset="0"/>
            </a:rPr>
            <a:t>Que relación existe entre los precios y la cantidad de ventas </a:t>
          </a:r>
        </a:p>
        <a:p>
          <a:r>
            <a:rPr lang="es-AR" b="1" u="sng" baseline="0">
              <a:latin typeface="Fira Sans Medium" panose="020B0603050000020004" pitchFamily="34" charset="0"/>
            </a:rPr>
            <a:t>De la categoría más vendidas cuales son los artículos más vendidos </a:t>
          </a:r>
        </a:p>
        <a:p>
          <a:endParaRPr lang="es-AR" b="1" u="sng" baseline="0"/>
        </a:p>
        <a:p>
          <a:r>
            <a:rPr lang="es-AR"/>
            <a:t>	</a:t>
          </a:r>
          <a:r>
            <a:rPr lang="es-AR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	</a:t>
          </a:r>
          <a:endParaRPr lang="es-AR" sz="1100" baseline="0"/>
        </a:p>
      </xdr:txBody>
    </xdr:sp>
    <xdr:clientData/>
  </xdr:twoCellAnchor>
  <xdr:twoCellAnchor>
    <xdr:from>
      <xdr:col>2</xdr:col>
      <xdr:colOff>202224</xdr:colOff>
      <xdr:row>43</xdr:row>
      <xdr:rowOff>87924</xdr:rowOff>
    </xdr:from>
    <xdr:to>
      <xdr:col>8</xdr:col>
      <xdr:colOff>26378</xdr:colOff>
      <xdr:row>58</xdr:row>
      <xdr:rowOff>105508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A3AFF852-FF3C-4740-B644-01C0A6D7B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190499</xdr:colOff>
      <xdr:row>59</xdr:row>
      <xdr:rowOff>138039</xdr:rowOff>
    </xdr:from>
    <xdr:to>
      <xdr:col>8</xdr:col>
      <xdr:colOff>257907</xdr:colOff>
      <xdr:row>75</xdr:row>
      <xdr:rowOff>99646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A7B6C7B2-2AA4-4B8B-A1AA-92A2A9FE890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407377</xdr:colOff>
      <xdr:row>79</xdr:row>
      <xdr:rowOff>82062</xdr:rowOff>
    </xdr:from>
    <xdr:to>
      <xdr:col>8</xdr:col>
      <xdr:colOff>231530</xdr:colOff>
      <xdr:row>94</xdr:row>
      <xdr:rowOff>99647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04B8900-004B-425E-A05C-D9EBE9BFEB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2467708</xdr:colOff>
      <xdr:row>104</xdr:row>
      <xdr:rowOff>82062</xdr:rowOff>
    </xdr:from>
    <xdr:to>
      <xdr:col>5</xdr:col>
      <xdr:colOff>439616</xdr:colOff>
      <xdr:row>119</xdr:row>
      <xdr:rowOff>87923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DD8DADBB-9AA4-4BBF-AC25-920F7A9F8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213360</xdr:colOff>
      <xdr:row>118</xdr:row>
      <xdr:rowOff>45720</xdr:rowOff>
    </xdr:from>
    <xdr:to>
      <xdr:col>8</xdr:col>
      <xdr:colOff>228601</xdr:colOff>
      <xdr:row>127</xdr:row>
      <xdr:rowOff>45720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Categorías">
              <a:extLst>
                <a:ext uri="{FF2B5EF4-FFF2-40B4-BE49-F238E27FC236}">
                  <a16:creationId xmlns:a16="http://schemas.microsoft.com/office/drawing/2014/main" id="{6CEED42D-A644-485B-8BA1-122D9F9766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810500" y="21625560"/>
              <a:ext cx="1600200" cy="164592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11</xdr:col>
      <xdr:colOff>381000</xdr:colOff>
      <xdr:row>1</xdr:row>
      <xdr:rowOff>53340</xdr:rowOff>
    </xdr:from>
    <xdr:to>
      <xdr:col>12</xdr:col>
      <xdr:colOff>20520</xdr:colOff>
      <xdr:row>3</xdr:row>
      <xdr:rowOff>119580</xdr:rowOff>
    </xdr:to>
    <xdr:pic macro="[0]!visual">
      <xdr:nvPicPr>
        <xdr:cNvPr id="11" name="Gráfico 10" descr="Ojo">
          <a:extLst>
            <a:ext uri="{FF2B5EF4-FFF2-40B4-BE49-F238E27FC236}">
              <a16:creationId xmlns:a16="http://schemas.microsoft.com/office/drawing/2014/main" id="{FDC29905-5696-4785-B810-FF454E61D1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940540" y="23622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670560</xdr:colOff>
      <xdr:row>1</xdr:row>
      <xdr:rowOff>53340</xdr:rowOff>
    </xdr:from>
    <xdr:to>
      <xdr:col>10</xdr:col>
      <xdr:colOff>310080</xdr:colOff>
      <xdr:row>3</xdr:row>
      <xdr:rowOff>119580</xdr:rowOff>
    </xdr:to>
    <xdr:pic macro="[0]!_xludf.db">
      <xdr:nvPicPr>
        <xdr:cNvPr id="13" name="Gráfico 12" descr="Base de datos">
          <a:extLst>
            <a:ext uri="{FF2B5EF4-FFF2-40B4-BE49-F238E27FC236}">
              <a16:creationId xmlns:a16="http://schemas.microsoft.com/office/drawing/2014/main" id="{CF9EC6F2-88D7-4F06-AF4E-471175AF0A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0645140" y="23622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105</xdr:row>
      <xdr:rowOff>0</xdr:rowOff>
    </xdr:from>
    <xdr:to>
      <xdr:col>10</xdr:col>
      <xdr:colOff>121920</xdr:colOff>
      <xdr:row>110</xdr:row>
      <xdr:rowOff>0</xdr:rowOff>
    </xdr:to>
    <xdr:pic>
      <xdr:nvPicPr>
        <xdr:cNvPr id="5" name="Gráfico 4" descr="Tabla">
          <a:extLst>
            <a:ext uri="{FF2B5EF4-FFF2-40B4-BE49-F238E27FC236}">
              <a16:creationId xmlns:a16="http://schemas.microsoft.com/office/drawing/2014/main" id="{0B2A2144-5180-4920-A0D0-2066CC2636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974580" y="1920240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10</xdr:col>
      <xdr:colOff>523105</xdr:colOff>
      <xdr:row>1</xdr:row>
      <xdr:rowOff>80682</xdr:rowOff>
    </xdr:from>
    <xdr:to>
      <xdr:col>11</xdr:col>
      <xdr:colOff>167976</xdr:colOff>
      <xdr:row>3</xdr:row>
      <xdr:rowOff>155859</xdr:rowOff>
    </xdr:to>
    <xdr:pic macro="[0]!DASHBOARD">
      <xdr:nvPicPr>
        <xdr:cNvPr id="14" name="Gráfico 13" descr="Tabla">
          <a:extLst>
            <a:ext uri="{FF2B5EF4-FFF2-40B4-BE49-F238E27FC236}">
              <a16:creationId xmlns:a16="http://schemas.microsoft.com/office/drawing/2014/main" id="{EF3CAA39-0402-4F1A-BE64-C2DCEA0191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1289717" y="259976"/>
          <a:ext cx="433765" cy="43376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613410</xdr:colOff>
      <xdr:row>0</xdr:row>
      <xdr:rowOff>152400</xdr:rowOff>
    </xdr:from>
    <xdr:to>
      <xdr:col>10</xdr:col>
      <xdr:colOff>252930</xdr:colOff>
      <xdr:row>1</xdr:row>
      <xdr:rowOff>401520</xdr:rowOff>
    </xdr:to>
    <xdr:pic macro="[0]!analisis">
      <xdr:nvPicPr>
        <xdr:cNvPr id="2" name="Gráfico 1" descr="Cabeza con engranajes">
          <a:extLst>
            <a:ext uri="{FF2B5EF4-FFF2-40B4-BE49-F238E27FC236}">
              <a16:creationId xmlns:a16="http://schemas.microsoft.com/office/drawing/2014/main" id="{E4FD1018-3DDF-4867-B5FB-2043542C4A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745730" y="1524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0</xdr:row>
      <xdr:rowOff>152400</xdr:rowOff>
    </xdr:from>
    <xdr:to>
      <xdr:col>9</xdr:col>
      <xdr:colOff>432000</xdr:colOff>
      <xdr:row>1</xdr:row>
      <xdr:rowOff>401520</xdr:rowOff>
    </xdr:to>
    <xdr:pic macro="[0]!_xludf.db">
      <xdr:nvPicPr>
        <xdr:cNvPr id="4" name="Gráfico 3" descr="Base de datos">
          <a:extLst>
            <a:ext uri="{FF2B5EF4-FFF2-40B4-BE49-F238E27FC236}">
              <a16:creationId xmlns:a16="http://schemas.microsoft.com/office/drawing/2014/main" id="{CDC1B4BA-1324-4141-9759-6A4FA2866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7132320" y="15240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434340</xdr:colOff>
      <xdr:row>0</xdr:row>
      <xdr:rowOff>152400</xdr:rowOff>
    </xdr:from>
    <xdr:to>
      <xdr:col>11</xdr:col>
      <xdr:colOff>75625</xdr:colOff>
      <xdr:row>1</xdr:row>
      <xdr:rowOff>403285</xdr:rowOff>
    </xdr:to>
    <xdr:pic macro="[0]!DASHBOARD">
      <xdr:nvPicPr>
        <xdr:cNvPr id="5" name="Gráfico 4" descr="Tabla">
          <a:extLst>
            <a:ext uri="{FF2B5EF4-FFF2-40B4-BE49-F238E27FC236}">
              <a16:creationId xmlns:a16="http://schemas.microsoft.com/office/drawing/2014/main" id="{329AD14F-7BDD-44B6-BAEB-FF45E900F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8359140" y="152400"/>
          <a:ext cx="433765" cy="4337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609598</xdr:colOff>
      <xdr:row>0</xdr:row>
      <xdr:rowOff>0</xdr:rowOff>
    </xdr:from>
    <xdr:to>
      <xdr:col>17</xdr:col>
      <xdr:colOff>71716</xdr:colOff>
      <xdr:row>52</xdr:row>
      <xdr:rowOff>107577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374B3F2-49E0-4C6A-ADB8-835D731FB2A5}"/>
            </a:ext>
          </a:extLst>
        </xdr:cNvPr>
        <xdr:cNvSpPr/>
      </xdr:nvSpPr>
      <xdr:spPr>
        <a:xfrm>
          <a:off x="1398492" y="0"/>
          <a:ext cx="11483789" cy="9430871"/>
        </a:xfrm>
        <a:prstGeom prst="roundRect">
          <a:avLst/>
        </a:prstGeom>
        <a:solidFill>
          <a:srgbClr val="FF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4</xdr:col>
      <xdr:colOff>220980</xdr:colOff>
      <xdr:row>0</xdr:row>
      <xdr:rowOff>98640</xdr:rowOff>
    </xdr:from>
    <xdr:to>
      <xdr:col>4</xdr:col>
      <xdr:colOff>688980</xdr:colOff>
      <xdr:row>3</xdr:row>
      <xdr:rowOff>18000</xdr:rowOff>
    </xdr:to>
    <xdr:sp macro="" textlink="">
      <xdr:nvSpPr>
        <xdr:cNvPr id="42" name="Diagrama de flujo: conector 41">
          <a:extLst>
            <a:ext uri="{FF2B5EF4-FFF2-40B4-BE49-F238E27FC236}">
              <a16:creationId xmlns:a16="http://schemas.microsoft.com/office/drawing/2014/main" id="{1D367563-8E67-49C6-B114-054E0D183B76}"/>
            </a:ext>
          </a:extLst>
        </xdr:cNvPr>
        <xdr:cNvSpPr/>
      </xdr:nvSpPr>
      <xdr:spPr>
        <a:xfrm>
          <a:off x="2788920" y="98640"/>
          <a:ext cx="468000" cy="468000"/>
        </a:xfrm>
        <a:prstGeom prst="flowChartConnector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>
            <a:solidFill>
              <a:srgbClr val="FFC000"/>
            </a:solidFill>
          </a:endParaRPr>
        </a:p>
      </xdr:txBody>
    </xdr:sp>
    <xdr:clientData/>
  </xdr:twoCellAnchor>
  <xdr:twoCellAnchor>
    <xdr:from>
      <xdr:col>6</xdr:col>
      <xdr:colOff>320675</xdr:colOff>
      <xdr:row>0</xdr:row>
      <xdr:rowOff>114300</xdr:rowOff>
    </xdr:from>
    <xdr:to>
      <xdr:col>13</xdr:col>
      <xdr:colOff>320675</xdr:colOff>
      <xdr:row>6</xdr:row>
      <xdr:rowOff>114300</xdr:rowOff>
    </xdr:to>
    <xdr:sp macro="" textlink="">
      <xdr:nvSpPr>
        <xdr:cNvPr id="30" name="Rectángulo: esquinas superiores redondeadas 29">
          <a:extLst>
            <a:ext uri="{FF2B5EF4-FFF2-40B4-BE49-F238E27FC236}">
              <a16:creationId xmlns:a16="http://schemas.microsoft.com/office/drawing/2014/main" id="{7017341A-3A64-4079-81C6-7650C3D09344}"/>
            </a:ext>
          </a:extLst>
        </xdr:cNvPr>
        <xdr:cNvSpPr/>
      </xdr:nvSpPr>
      <xdr:spPr>
        <a:xfrm>
          <a:off x="4453404" y="114300"/>
          <a:ext cx="5522259" cy="1075765"/>
        </a:xfrm>
        <a:prstGeom prst="round2SameRect">
          <a:avLst/>
        </a:prstGeom>
        <a:solidFill>
          <a:srgbClr val="412E8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s-AR" sz="110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6</xdr:col>
      <xdr:colOff>365125</xdr:colOff>
      <xdr:row>4</xdr:row>
      <xdr:rowOff>27419</xdr:rowOff>
    </xdr:from>
    <xdr:to>
      <xdr:col>13</xdr:col>
      <xdr:colOff>60325</xdr:colOff>
      <xdr:row>10</xdr:row>
      <xdr:rowOff>62057</xdr:rowOff>
    </xdr:to>
    <xdr:sp macro="" textlink="">
      <xdr:nvSpPr>
        <xdr:cNvPr id="3" name="Rectángulo 2">
          <a:extLst>
            <a:ext uri="{FF2B5EF4-FFF2-40B4-BE49-F238E27FC236}">
              <a16:creationId xmlns:a16="http://schemas.microsoft.com/office/drawing/2014/main" id="{7F1C5785-5734-4E12-A2E7-E0CD48C9789A}"/>
            </a:ext>
          </a:extLst>
        </xdr:cNvPr>
        <xdr:cNvSpPr/>
      </xdr:nvSpPr>
      <xdr:spPr>
        <a:xfrm>
          <a:off x="2936875" y="764019"/>
          <a:ext cx="5251450" cy="1139538"/>
        </a:xfrm>
        <a:prstGeom prst="rect">
          <a:avLst/>
        </a:prstGeom>
        <a:solidFill>
          <a:srgbClr val="412E8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6</xdr:col>
      <xdr:colOff>301019</xdr:colOff>
      <xdr:row>1</xdr:row>
      <xdr:rowOff>22466</xdr:rowOff>
    </xdr:from>
    <xdr:to>
      <xdr:col>13</xdr:col>
      <xdr:colOff>260321</xdr:colOff>
      <xdr:row>2</xdr:row>
      <xdr:rowOff>130417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A64B1CD-628C-48EC-A066-23509AE3FD06}"/>
            </a:ext>
          </a:extLst>
        </xdr:cNvPr>
        <xdr:cNvSpPr txBox="1"/>
      </xdr:nvSpPr>
      <xdr:spPr>
        <a:xfrm>
          <a:off x="4450988" y="204174"/>
          <a:ext cx="5498456" cy="2896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600">
              <a:solidFill>
                <a:srgbClr val="FFCD29"/>
              </a:solidFill>
              <a:latin typeface="Fira Sans Medium" panose="020B0603050000020004" pitchFamily="34" charset="0"/>
            </a:rPr>
            <a:t>Dashboard</a:t>
          </a:r>
          <a:r>
            <a:rPr lang="es-AR" sz="1600" baseline="0">
              <a:solidFill>
                <a:srgbClr val="FFCD29"/>
              </a:solidFill>
              <a:latin typeface="Fira Sans Medium" panose="020B0603050000020004" pitchFamily="34" charset="0"/>
            </a:rPr>
            <a:t> de análisis del </a:t>
          </a:r>
          <a:r>
            <a:rPr lang="es-AR" sz="1800" baseline="0">
              <a:solidFill>
                <a:srgbClr val="FFCD29"/>
              </a:solidFill>
              <a:latin typeface="Fira Sans Medium" panose="020B0603050000020004" pitchFamily="34" charset="0"/>
            </a:rPr>
            <a:t>mes</a:t>
          </a:r>
          <a:r>
            <a:rPr lang="es-AR" sz="1600" baseline="0">
              <a:solidFill>
                <a:srgbClr val="FFCD29"/>
              </a:solidFill>
              <a:latin typeface="Fira Sans Medium" panose="020B0603050000020004" pitchFamily="34" charset="0"/>
            </a:rPr>
            <a:t> de septiembre de 2023</a:t>
          </a:r>
          <a:endParaRPr lang="es-AR" sz="1600">
            <a:solidFill>
              <a:srgbClr val="FFCD29"/>
            </a:solidFill>
            <a:latin typeface="Fira Sans Medium" panose="020B0603050000020004" pitchFamily="34" charset="0"/>
          </a:endParaRPr>
        </a:p>
      </xdr:txBody>
    </xdr:sp>
    <xdr:clientData/>
  </xdr:twoCellAnchor>
  <xdr:twoCellAnchor>
    <xdr:from>
      <xdr:col>13</xdr:col>
      <xdr:colOff>0</xdr:colOff>
      <xdr:row>4</xdr:row>
      <xdr:rowOff>114877</xdr:rowOff>
    </xdr:from>
    <xdr:to>
      <xdr:col>14</xdr:col>
      <xdr:colOff>603250</xdr:colOff>
      <xdr:row>11</xdr:row>
      <xdr:rowOff>158750</xdr:rowOff>
    </xdr:to>
    <xdr:sp macro="" textlink="">
      <xdr:nvSpPr>
        <xdr:cNvPr id="16" name="Rectángulo: esquinas redondeadas 15">
          <a:extLst>
            <a:ext uri="{FF2B5EF4-FFF2-40B4-BE49-F238E27FC236}">
              <a16:creationId xmlns:a16="http://schemas.microsoft.com/office/drawing/2014/main" id="{826DB1F7-490C-4605-810A-6DE33821CD7D}"/>
            </a:ext>
          </a:extLst>
        </xdr:cNvPr>
        <xdr:cNvSpPr/>
      </xdr:nvSpPr>
      <xdr:spPr>
        <a:xfrm>
          <a:off x="9700260" y="846397"/>
          <a:ext cx="1395730" cy="1324033"/>
        </a:xfrm>
        <a:prstGeom prst="roundRect">
          <a:avLst/>
        </a:prstGeom>
        <a:solidFill>
          <a:srgbClr val="8CC0A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5</xdr:col>
      <xdr:colOff>0</xdr:colOff>
      <xdr:row>4</xdr:row>
      <xdr:rowOff>114877</xdr:rowOff>
    </xdr:from>
    <xdr:to>
      <xdr:col>6</xdr:col>
      <xdr:colOff>603250</xdr:colOff>
      <xdr:row>11</xdr:row>
      <xdr:rowOff>158750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CEBB6826-C5FD-4768-9710-D4E9A66B9E40}"/>
            </a:ext>
          </a:extLst>
        </xdr:cNvPr>
        <xdr:cNvSpPr/>
      </xdr:nvSpPr>
      <xdr:spPr>
        <a:xfrm>
          <a:off x="3360420" y="846397"/>
          <a:ext cx="1395730" cy="1324033"/>
        </a:xfrm>
        <a:prstGeom prst="roundRect">
          <a:avLst/>
        </a:prstGeom>
        <a:solidFill>
          <a:srgbClr val="8CC0A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11</xdr:col>
      <xdr:colOff>0</xdr:colOff>
      <xdr:row>4</xdr:row>
      <xdr:rowOff>114876</xdr:rowOff>
    </xdr:from>
    <xdr:to>
      <xdr:col>12</xdr:col>
      <xdr:colOff>603250</xdr:colOff>
      <xdr:row>11</xdr:row>
      <xdr:rowOff>158749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5E26C7E6-29BE-48F9-A1AF-E901AAC4FADC}"/>
            </a:ext>
          </a:extLst>
        </xdr:cNvPr>
        <xdr:cNvSpPr/>
      </xdr:nvSpPr>
      <xdr:spPr>
        <a:xfrm>
          <a:off x="8115300" y="846396"/>
          <a:ext cx="1395730" cy="1324033"/>
        </a:xfrm>
        <a:prstGeom prst="roundRect">
          <a:avLst/>
        </a:prstGeom>
        <a:solidFill>
          <a:srgbClr val="8CC0A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s-AR" sz="1100"/>
        </a:p>
      </xdr:txBody>
    </xdr:sp>
    <xdr:clientData/>
  </xdr:twoCellAnchor>
  <xdr:twoCellAnchor>
    <xdr:from>
      <xdr:col>7</xdr:col>
      <xdr:colOff>0</xdr:colOff>
      <xdr:row>4</xdr:row>
      <xdr:rowOff>114876</xdr:rowOff>
    </xdr:from>
    <xdr:to>
      <xdr:col>8</xdr:col>
      <xdr:colOff>603250</xdr:colOff>
      <xdr:row>11</xdr:row>
      <xdr:rowOff>158749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5A7F07B2-E8DF-46D2-A6A8-394ECC066644}"/>
            </a:ext>
          </a:extLst>
        </xdr:cNvPr>
        <xdr:cNvSpPr/>
      </xdr:nvSpPr>
      <xdr:spPr>
        <a:xfrm>
          <a:off x="4945380" y="846396"/>
          <a:ext cx="1395730" cy="1324033"/>
        </a:xfrm>
        <a:prstGeom prst="roundRect">
          <a:avLst/>
        </a:prstGeom>
        <a:solidFill>
          <a:srgbClr val="8CC0A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609599</xdr:colOff>
      <xdr:row>12</xdr:row>
      <xdr:rowOff>15241</xdr:rowOff>
    </xdr:from>
    <xdr:to>
      <xdr:col>8</xdr:col>
      <xdr:colOff>26894</xdr:colOff>
      <xdr:row>31</xdr:row>
      <xdr:rowOff>98611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2D2BD57B-A09C-4D7C-A2DE-A4CF1A18E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193040</xdr:colOff>
      <xdr:row>12</xdr:row>
      <xdr:rowOff>129540</xdr:rowOff>
    </xdr:from>
    <xdr:to>
      <xdr:col>16</xdr:col>
      <xdr:colOff>548640</xdr:colOff>
      <xdr:row>31</xdr:row>
      <xdr:rowOff>27941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9B01E81F-D1C3-4CFC-8557-F4B9EBC9A8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4</xdr:row>
      <xdr:rowOff>114876</xdr:rowOff>
    </xdr:from>
    <xdr:to>
      <xdr:col>10</xdr:col>
      <xdr:colOff>603250</xdr:colOff>
      <xdr:row>11</xdr:row>
      <xdr:rowOff>158749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BE6B3BB5-2535-45E3-8B0D-3B85C4CEEC18}"/>
            </a:ext>
          </a:extLst>
        </xdr:cNvPr>
        <xdr:cNvSpPr/>
      </xdr:nvSpPr>
      <xdr:spPr>
        <a:xfrm>
          <a:off x="6530340" y="846396"/>
          <a:ext cx="1395730" cy="1324033"/>
        </a:xfrm>
        <a:prstGeom prst="roundRect">
          <a:avLst/>
        </a:prstGeom>
        <a:solidFill>
          <a:srgbClr val="8CC0A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AR" sz="1100"/>
        </a:p>
      </xdr:txBody>
    </xdr:sp>
    <xdr:clientData/>
  </xdr:twoCellAnchor>
  <xdr:twoCellAnchor>
    <xdr:from>
      <xdr:col>1</xdr:col>
      <xdr:colOff>353786</xdr:colOff>
      <xdr:row>27</xdr:row>
      <xdr:rowOff>9223</xdr:rowOff>
    </xdr:from>
    <xdr:to>
      <xdr:col>9</xdr:col>
      <xdr:colOff>729343</xdr:colOff>
      <xdr:row>50</xdr:row>
      <xdr:rowOff>26124</xdr:rowOff>
    </xdr:to>
    <xdr:graphicFrame macro="">
      <xdr:nvGraphicFramePr>
        <xdr:cNvPr id="24" name="Gráfico 23">
          <a:extLst>
            <a:ext uri="{FF2B5EF4-FFF2-40B4-BE49-F238E27FC236}">
              <a16:creationId xmlns:a16="http://schemas.microsoft.com/office/drawing/2014/main" id="{F93CAC71-3E47-48FF-9761-3B3F02F79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91440</xdr:colOff>
      <xdr:row>32</xdr:row>
      <xdr:rowOff>22860</xdr:rowOff>
    </xdr:from>
    <xdr:to>
      <xdr:col>16</xdr:col>
      <xdr:colOff>259080</xdr:colOff>
      <xdr:row>49</xdr:row>
      <xdr:rowOff>167639</xdr:rowOff>
    </xdr:to>
    <xdr:graphicFrame macro="">
      <xdr:nvGraphicFramePr>
        <xdr:cNvPr id="31" name="Gráfico 30">
          <a:extLst>
            <a:ext uri="{FF2B5EF4-FFF2-40B4-BE49-F238E27FC236}">
              <a16:creationId xmlns:a16="http://schemas.microsoft.com/office/drawing/2014/main" id="{46B2B807-DB8E-4BA7-B1A9-A0C289BBB6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9</xdr:col>
      <xdr:colOff>517525</xdr:colOff>
      <xdr:row>9</xdr:row>
      <xdr:rowOff>163830</xdr:rowOff>
    </xdr:from>
    <xdr:to>
      <xdr:col>10</xdr:col>
      <xdr:colOff>85725</xdr:colOff>
      <xdr:row>11</xdr:row>
      <xdr:rowOff>158750</xdr:rowOff>
    </xdr:to>
    <xdr:pic>
      <xdr:nvPicPr>
        <xdr:cNvPr id="29" name="Gráfico 28" descr="Gráfico de barras con tendencia alcista">
          <a:extLst>
            <a:ext uri="{FF2B5EF4-FFF2-40B4-BE49-F238E27FC236}">
              <a16:creationId xmlns:a16="http://schemas.microsoft.com/office/drawing/2014/main" id="{5F2BCD74-BC0C-496F-BB41-BBCAD8AD2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7047865" y="1809750"/>
          <a:ext cx="360680" cy="360680"/>
        </a:xfrm>
        <a:prstGeom prst="rect">
          <a:avLst/>
        </a:prstGeom>
      </xdr:spPr>
    </xdr:pic>
    <xdr:clientData/>
  </xdr:twoCellAnchor>
  <xdr:twoCellAnchor editAs="oneCell">
    <xdr:from>
      <xdr:col>7</xdr:col>
      <xdr:colOff>788807</xdr:colOff>
      <xdr:row>16</xdr:row>
      <xdr:rowOff>127165</xdr:rowOff>
    </xdr:from>
    <xdr:to>
      <xdr:col>11</xdr:col>
      <xdr:colOff>641436</xdr:colOff>
      <xdr:row>27</xdr:row>
      <xdr:rowOff>125765</xdr:rowOff>
    </xdr:to>
    <xdr:pic>
      <xdr:nvPicPr>
        <xdr:cNvPr id="33" name="Imagen 32">
          <a:extLst>
            <a:ext uri="{FF2B5EF4-FFF2-40B4-BE49-F238E27FC236}">
              <a16:creationId xmlns:a16="http://schemas.microsoft.com/office/drawing/2014/main" id="{BB53E2BB-DA1C-4BC3-998D-A135DEB52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0431" y="2995871"/>
          <a:ext cx="3008205" cy="1970835"/>
        </a:xfrm>
        <a:prstGeom prst="rect">
          <a:avLst/>
        </a:prstGeom>
      </xdr:spPr>
    </xdr:pic>
    <xdr:clientData/>
  </xdr:twoCellAnchor>
  <xdr:twoCellAnchor editAs="oneCell">
    <xdr:from>
      <xdr:col>11</xdr:col>
      <xdr:colOff>517865</xdr:colOff>
      <xdr:row>9</xdr:row>
      <xdr:rowOff>164510</xdr:rowOff>
    </xdr:from>
    <xdr:to>
      <xdr:col>12</xdr:col>
      <xdr:colOff>85385</xdr:colOff>
      <xdr:row>11</xdr:row>
      <xdr:rowOff>158750</xdr:rowOff>
    </xdr:to>
    <xdr:pic>
      <xdr:nvPicPr>
        <xdr:cNvPr id="35" name="Gráfico 34" descr="Gráfico de barras con tendencia bajista RTL">
          <a:extLst>
            <a:ext uri="{FF2B5EF4-FFF2-40B4-BE49-F238E27FC236}">
              <a16:creationId xmlns:a16="http://schemas.microsoft.com/office/drawing/2014/main" id="{2C8E79A4-C3C1-4451-BC5C-2CF3A9116C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8633165" y="181043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4</xdr:col>
      <xdr:colOff>239486</xdr:colOff>
      <xdr:row>32</xdr:row>
      <xdr:rowOff>85225</xdr:rowOff>
    </xdr:from>
    <xdr:to>
      <xdr:col>4</xdr:col>
      <xdr:colOff>523286</xdr:colOff>
      <xdr:row>34</xdr:row>
      <xdr:rowOff>1089</xdr:rowOff>
    </xdr:to>
    <xdr:pic>
      <xdr:nvPicPr>
        <xdr:cNvPr id="39" name="Gráfico 38" descr="Reloj de arena">
          <a:extLst>
            <a:ext uri="{FF2B5EF4-FFF2-40B4-BE49-F238E27FC236}">
              <a16:creationId xmlns:a16="http://schemas.microsoft.com/office/drawing/2014/main" id="{74F1EEF4-E6BB-4A2A-B979-6883E09CBE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2819400" y="6007054"/>
          <a:ext cx="283800" cy="285978"/>
        </a:xfrm>
        <a:prstGeom prst="rect">
          <a:avLst/>
        </a:prstGeom>
      </xdr:spPr>
    </xdr:pic>
    <xdr:clientData/>
  </xdr:twoCellAnchor>
  <xdr:twoCellAnchor editAs="oneCell">
    <xdr:from>
      <xdr:col>4</xdr:col>
      <xdr:colOff>274980</xdr:colOff>
      <xdr:row>0</xdr:row>
      <xdr:rowOff>152640</xdr:rowOff>
    </xdr:from>
    <xdr:to>
      <xdr:col>4</xdr:col>
      <xdr:colOff>634980</xdr:colOff>
      <xdr:row>2</xdr:row>
      <xdr:rowOff>146880</xdr:rowOff>
    </xdr:to>
    <xdr:pic macro="[0]!desfiltrar">
      <xdr:nvPicPr>
        <xdr:cNvPr id="41" name="Gráfico 40" descr="Filtro">
          <a:extLst>
            <a:ext uri="{FF2B5EF4-FFF2-40B4-BE49-F238E27FC236}">
              <a16:creationId xmlns:a16="http://schemas.microsoft.com/office/drawing/2014/main" id="{EB62DA6D-57A7-4542-95EB-81B795C5C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42920" y="15264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411480</xdr:colOff>
      <xdr:row>1</xdr:row>
      <xdr:rowOff>3810</xdr:rowOff>
    </xdr:from>
    <xdr:to>
      <xdr:col>15</xdr:col>
      <xdr:colOff>51000</xdr:colOff>
      <xdr:row>3</xdr:row>
      <xdr:rowOff>70050</xdr:rowOff>
    </xdr:to>
    <xdr:pic macro="[0]!analisis">
      <xdr:nvPicPr>
        <xdr:cNvPr id="44" name="Gráfico 43" descr="Cabeza con engranajes">
          <a:extLst>
            <a:ext uri="{FF2B5EF4-FFF2-40B4-BE49-F238E27FC236}">
              <a16:creationId xmlns:a16="http://schemas.microsoft.com/office/drawing/2014/main" id="{DC42C3AD-BC82-430A-8EAE-F9FAF3D7AB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10904220" y="18669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15</xdr:col>
      <xdr:colOff>266700</xdr:colOff>
      <xdr:row>1</xdr:row>
      <xdr:rowOff>3810</xdr:rowOff>
    </xdr:from>
    <xdr:to>
      <xdr:col>15</xdr:col>
      <xdr:colOff>698700</xdr:colOff>
      <xdr:row>3</xdr:row>
      <xdr:rowOff>70050</xdr:rowOff>
    </xdr:to>
    <xdr:pic macro="[0]!visual">
      <xdr:nvPicPr>
        <xdr:cNvPr id="46" name="Gráfico 45" descr="Ojo">
          <a:extLst>
            <a:ext uri="{FF2B5EF4-FFF2-40B4-BE49-F238E27FC236}">
              <a16:creationId xmlns:a16="http://schemas.microsoft.com/office/drawing/2014/main" id="{307F61AD-DE1C-4CCB-9075-86A5606AC1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7"/>
            </a:ext>
          </a:extLst>
        </a:blip>
        <a:stretch>
          <a:fillRect/>
        </a:stretch>
      </xdr:blipFill>
      <xdr:spPr>
        <a:xfrm>
          <a:off x="11551920" y="18669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556260</xdr:colOff>
      <xdr:row>1</xdr:row>
      <xdr:rowOff>3810</xdr:rowOff>
    </xdr:from>
    <xdr:to>
      <xdr:col>14</xdr:col>
      <xdr:colOff>195780</xdr:colOff>
      <xdr:row>3</xdr:row>
      <xdr:rowOff>70050</xdr:rowOff>
    </xdr:to>
    <xdr:pic macro="[0]!_xludf.db">
      <xdr:nvPicPr>
        <xdr:cNvPr id="48" name="Gráfico 47" descr="Base de datos">
          <a:extLst>
            <a:ext uri="{FF2B5EF4-FFF2-40B4-BE49-F238E27FC236}">
              <a16:creationId xmlns:a16="http://schemas.microsoft.com/office/drawing/2014/main" id="{FBD81667-9C87-47FD-A246-2B1C2D482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0256520" y="186690"/>
          <a:ext cx="432000" cy="432000"/>
        </a:xfrm>
        <a:prstGeom prst="rect">
          <a:avLst/>
        </a:prstGeom>
      </xdr:spPr>
    </xdr:pic>
    <xdr:clientData/>
  </xdr:twoCellAnchor>
  <xdr:twoCellAnchor>
    <xdr:from>
      <xdr:col>6</xdr:col>
      <xdr:colOff>301019</xdr:colOff>
      <xdr:row>2</xdr:row>
      <xdr:rowOff>170278</xdr:rowOff>
    </xdr:from>
    <xdr:to>
      <xdr:col>13</xdr:col>
      <xdr:colOff>260321</xdr:colOff>
      <xdr:row>4</xdr:row>
      <xdr:rowOff>95349</xdr:rowOff>
    </xdr:to>
    <xdr:sp macro="" textlink="">
      <xdr:nvSpPr>
        <xdr:cNvPr id="49" name="CuadroTexto 48">
          <a:extLst>
            <a:ext uri="{FF2B5EF4-FFF2-40B4-BE49-F238E27FC236}">
              <a16:creationId xmlns:a16="http://schemas.microsoft.com/office/drawing/2014/main" id="{5112635B-E877-40A9-840A-5AC568975F4E}"/>
            </a:ext>
          </a:extLst>
        </xdr:cNvPr>
        <xdr:cNvSpPr txBox="1"/>
      </xdr:nvSpPr>
      <xdr:spPr>
        <a:xfrm>
          <a:off x="4450988" y="533693"/>
          <a:ext cx="5498456" cy="28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050">
              <a:solidFill>
                <a:srgbClr val="FFCD29"/>
              </a:solidFill>
              <a:latin typeface="Fira Sans Medium" panose="020B0603050000020004" pitchFamily="34" charset="0"/>
            </a:rPr>
            <a:t>KPI</a:t>
          </a:r>
          <a:r>
            <a:rPr lang="es-AR" sz="1050" baseline="0">
              <a:solidFill>
                <a:srgbClr val="FFCD29"/>
              </a:solidFill>
              <a:latin typeface="Fira Sans Medium" panose="020B0603050000020004" pitchFamily="34" charset="0"/>
            </a:rPr>
            <a:t> GENERALES DEL MES</a:t>
          </a:r>
          <a:endParaRPr lang="es-AR" sz="1050">
            <a:solidFill>
              <a:srgbClr val="FFCD29"/>
            </a:solidFill>
            <a:latin typeface="Fira Sans Medium" panose="020B0603050000020004" pitchFamily="34" charset="0"/>
          </a:endParaRPr>
        </a:p>
      </xdr:txBody>
    </xdr:sp>
    <xdr:clientData/>
  </xdr:twoCellAnchor>
  <xdr:twoCellAnchor editAs="oneCell">
    <xdr:from>
      <xdr:col>7</xdr:col>
      <xdr:colOff>517865</xdr:colOff>
      <xdr:row>9</xdr:row>
      <xdr:rowOff>164510</xdr:rowOff>
    </xdr:from>
    <xdr:to>
      <xdr:col>8</xdr:col>
      <xdr:colOff>85385</xdr:colOff>
      <xdr:row>11</xdr:row>
      <xdr:rowOff>158750</xdr:rowOff>
    </xdr:to>
    <xdr:pic>
      <xdr:nvPicPr>
        <xdr:cNvPr id="55" name="Gráfico 54" descr="Indicador">
          <a:extLst>
            <a:ext uri="{FF2B5EF4-FFF2-40B4-BE49-F238E27FC236}">
              <a16:creationId xmlns:a16="http://schemas.microsoft.com/office/drawing/2014/main" id="{C68F81A1-38A0-4614-B620-6F1DAFA132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5463245" y="1810430"/>
          <a:ext cx="360000" cy="360000"/>
        </a:xfrm>
        <a:prstGeom prst="rect">
          <a:avLst/>
        </a:prstGeom>
      </xdr:spPr>
    </xdr:pic>
    <xdr:clientData/>
  </xdr:twoCellAnchor>
  <xdr:twoCellAnchor editAs="oneCell">
    <xdr:from>
      <xdr:col>5</xdr:col>
      <xdr:colOff>556260</xdr:colOff>
      <xdr:row>9</xdr:row>
      <xdr:rowOff>164510</xdr:rowOff>
    </xdr:from>
    <xdr:to>
      <xdr:col>6</xdr:col>
      <xdr:colOff>123780</xdr:colOff>
      <xdr:row>11</xdr:row>
      <xdr:rowOff>158750</xdr:rowOff>
    </xdr:to>
    <xdr:pic>
      <xdr:nvPicPr>
        <xdr:cNvPr id="57" name="Gráfico 56" descr="Gráfico circular">
          <a:extLst>
            <a:ext uri="{FF2B5EF4-FFF2-40B4-BE49-F238E27FC236}">
              <a16:creationId xmlns:a16="http://schemas.microsoft.com/office/drawing/2014/main" id="{5DF57318-8944-47B4-B77E-BA015AB25F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3916680" y="1810430"/>
          <a:ext cx="360000" cy="360000"/>
        </a:xfrm>
        <a:prstGeom prst="rect">
          <a:avLst/>
        </a:prstGeom>
      </xdr:spPr>
    </xdr:pic>
    <xdr:clientData/>
  </xdr:twoCellAnchor>
  <xdr:twoCellAnchor>
    <xdr:from>
      <xdr:col>11</xdr:col>
      <xdr:colOff>99695</xdr:colOff>
      <xdr:row>7</xdr:row>
      <xdr:rowOff>26323</xdr:rowOff>
    </xdr:from>
    <xdr:to>
      <xdr:col>12</xdr:col>
      <xdr:colOff>503555</xdr:colOff>
      <xdr:row>9</xdr:row>
      <xdr:rowOff>64423</xdr:rowOff>
    </xdr:to>
    <xdr:sp macro="" textlink="Análisis!$E$127">
      <xdr:nvSpPr>
        <xdr:cNvPr id="62" name="Rectángulo 61">
          <a:extLst>
            <a:ext uri="{FF2B5EF4-FFF2-40B4-BE49-F238E27FC236}">
              <a16:creationId xmlns:a16="http://schemas.microsoft.com/office/drawing/2014/main" id="{FE7C77B3-C1DF-4150-AEE6-5CACD94E8C9F}"/>
            </a:ext>
          </a:extLst>
        </xdr:cNvPr>
        <xdr:cNvSpPr/>
      </xdr:nvSpPr>
      <xdr:spPr>
        <a:xfrm>
          <a:off x="8214995" y="1306483"/>
          <a:ext cx="119634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A2C09A5A-27AD-4934-B3F4-2C1771F60DE9}" type="TxLink">
            <a:rPr lang="en-US" sz="16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ira Sans Medium" panose="020B0603050000020004" pitchFamily="34" charset="0"/>
              <a:ea typeface="Calibri"/>
              <a:cs typeface="Calibri"/>
            </a:rPr>
            <a:pPr marL="0" indent="0" algn="ctr"/>
            <a:t> 3 </a:t>
          </a:fld>
          <a:endParaRPr lang="es-AR" sz="16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Fira Sans Medium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99695</xdr:colOff>
      <xdr:row>7</xdr:row>
      <xdr:rowOff>26323</xdr:rowOff>
    </xdr:from>
    <xdr:to>
      <xdr:col>6</xdr:col>
      <xdr:colOff>503555</xdr:colOff>
      <xdr:row>9</xdr:row>
      <xdr:rowOff>64423</xdr:rowOff>
    </xdr:to>
    <xdr:sp macro="" textlink="Análisis!$B$127">
      <xdr:nvSpPr>
        <xdr:cNvPr id="59" name="Rectángulo 58">
          <a:extLst>
            <a:ext uri="{FF2B5EF4-FFF2-40B4-BE49-F238E27FC236}">
              <a16:creationId xmlns:a16="http://schemas.microsoft.com/office/drawing/2014/main" id="{6FDC2084-3E4D-43F8-A556-1D5B842C18AA}"/>
            </a:ext>
          </a:extLst>
        </xdr:cNvPr>
        <xdr:cNvSpPr/>
      </xdr:nvSpPr>
      <xdr:spPr>
        <a:xfrm>
          <a:off x="3460115" y="1306483"/>
          <a:ext cx="119634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03073170-8671-4D0A-8280-90668538FC6F}" type="TxLink">
            <a:rPr lang="en-US" sz="16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ira Sans Medium" panose="020B0603050000020004" pitchFamily="34" charset="0"/>
              <a:ea typeface="Calibri"/>
              <a:cs typeface="Calibri"/>
            </a:rPr>
            <a:pPr algn="ctr"/>
            <a:t> 13.664.773 </a:t>
          </a:fld>
          <a:endParaRPr lang="es-AR" sz="1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Fira Sans Medium" panose="020B0603050000020004" pitchFamily="34" charset="0"/>
          </a:endParaRPr>
        </a:p>
      </xdr:txBody>
    </xdr:sp>
    <xdr:clientData/>
  </xdr:twoCellAnchor>
  <xdr:twoCellAnchor>
    <xdr:from>
      <xdr:col>7</xdr:col>
      <xdr:colOff>99695</xdr:colOff>
      <xdr:row>7</xdr:row>
      <xdr:rowOff>26323</xdr:rowOff>
    </xdr:from>
    <xdr:to>
      <xdr:col>8</xdr:col>
      <xdr:colOff>503555</xdr:colOff>
      <xdr:row>9</xdr:row>
      <xdr:rowOff>64423</xdr:rowOff>
    </xdr:to>
    <xdr:sp macro="" textlink="Análisis!$C$127">
      <xdr:nvSpPr>
        <xdr:cNvPr id="60" name="Rectángulo 59">
          <a:extLst>
            <a:ext uri="{FF2B5EF4-FFF2-40B4-BE49-F238E27FC236}">
              <a16:creationId xmlns:a16="http://schemas.microsoft.com/office/drawing/2014/main" id="{8F08C766-9741-4CDA-AF19-A1EE68F614EA}"/>
            </a:ext>
          </a:extLst>
        </xdr:cNvPr>
        <xdr:cNvSpPr/>
      </xdr:nvSpPr>
      <xdr:spPr>
        <a:xfrm>
          <a:off x="5045075" y="1306483"/>
          <a:ext cx="119634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EB3A935A-1FF3-4A59-85EB-5173948D46CD}" type="TxLink">
            <a:rPr lang="en-US" sz="16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ira Sans Medium" panose="020B0603050000020004" pitchFamily="34" charset="0"/>
              <a:ea typeface="Calibri"/>
              <a:cs typeface="Calibri"/>
            </a:rPr>
            <a:pPr marL="0" indent="0" algn="ctr"/>
            <a:t> 25.734 </a:t>
          </a:fld>
          <a:endParaRPr lang="es-AR" sz="16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Fira Sans Medium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9</xdr:col>
      <xdr:colOff>99695</xdr:colOff>
      <xdr:row>7</xdr:row>
      <xdr:rowOff>26323</xdr:rowOff>
    </xdr:from>
    <xdr:to>
      <xdr:col>10</xdr:col>
      <xdr:colOff>503555</xdr:colOff>
      <xdr:row>9</xdr:row>
      <xdr:rowOff>64423</xdr:rowOff>
    </xdr:to>
    <xdr:sp macro="" textlink="Análisis!$D$127">
      <xdr:nvSpPr>
        <xdr:cNvPr id="61" name="Rectángulo 60">
          <a:extLst>
            <a:ext uri="{FF2B5EF4-FFF2-40B4-BE49-F238E27FC236}">
              <a16:creationId xmlns:a16="http://schemas.microsoft.com/office/drawing/2014/main" id="{7BFC9923-63CA-4E13-982E-1AE0F88D8656}"/>
            </a:ext>
          </a:extLst>
        </xdr:cNvPr>
        <xdr:cNvSpPr/>
      </xdr:nvSpPr>
      <xdr:spPr>
        <a:xfrm>
          <a:off x="6630035" y="1306483"/>
          <a:ext cx="119634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2F2D181D-DF8B-4294-9150-E3C6346D705D}" type="TxLink">
            <a:rPr lang="en-US" sz="16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ira Sans Medium" panose="020B0603050000020004" pitchFamily="34" charset="0"/>
              <a:ea typeface="Calibri"/>
              <a:cs typeface="Calibri"/>
            </a:rPr>
            <a:pPr marL="0" indent="0" algn="ctr"/>
            <a:t> 644.060 </a:t>
          </a:fld>
          <a:endParaRPr lang="es-AR" sz="16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Fira Sans Medium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13</xdr:col>
      <xdr:colOff>99695</xdr:colOff>
      <xdr:row>7</xdr:row>
      <xdr:rowOff>26323</xdr:rowOff>
    </xdr:from>
    <xdr:to>
      <xdr:col>14</xdr:col>
      <xdr:colOff>503555</xdr:colOff>
      <xdr:row>9</xdr:row>
      <xdr:rowOff>64423</xdr:rowOff>
    </xdr:to>
    <xdr:sp macro="" textlink="Análisis!$F$127">
      <xdr:nvSpPr>
        <xdr:cNvPr id="63" name="Rectángulo 62">
          <a:extLst>
            <a:ext uri="{FF2B5EF4-FFF2-40B4-BE49-F238E27FC236}">
              <a16:creationId xmlns:a16="http://schemas.microsoft.com/office/drawing/2014/main" id="{5FB9ED12-DBAC-4183-BB62-5F5B070A5DD7}"/>
            </a:ext>
          </a:extLst>
        </xdr:cNvPr>
        <xdr:cNvSpPr/>
      </xdr:nvSpPr>
      <xdr:spPr>
        <a:xfrm>
          <a:off x="9799955" y="1306483"/>
          <a:ext cx="1196340" cy="40386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EC988224-218A-40BD-8033-A278AA0882AC}" type="TxLink">
            <a:rPr lang="en-US" sz="1600" b="0" i="0" u="none" strike="noStrike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Fira Sans Medium" panose="020B0603050000020004" pitchFamily="34" charset="0"/>
              <a:ea typeface="Calibri"/>
              <a:cs typeface="Calibri"/>
            </a:rPr>
            <a:pPr marL="0" indent="0" algn="ctr"/>
            <a:t> 339.832 </a:t>
          </a:fld>
          <a:endParaRPr lang="es-AR" sz="1600" b="0" i="0" u="none" strike="noStrike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Fira Sans Medium" panose="020B06030500000200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434340</xdr:colOff>
      <xdr:row>4</xdr:row>
      <xdr:rowOff>114877</xdr:rowOff>
    </xdr:from>
    <xdr:to>
      <xdr:col>6</xdr:col>
      <xdr:colOff>243840</xdr:colOff>
      <xdr:row>6</xdr:row>
      <xdr:rowOff>61537</xdr:rowOff>
    </xdr:to>
    <xdr:sp macro="" textlink="">
      <xdr:nvSpPr>
        <xdr:cNvPr id="64" name="CuadroTexto 63">
          <a:extLst>
            <a:ext uri="{FF2B5EF4-FFF2-40B4-BE49-F238E27FC236}">
              <a16:creationId xmlns:a16="http://schemas.microsoft.com/office/drawing/2014/main" id="{05BB3E94-9AE9-4B3B-BC28-55FEE34A7B18}"/>
            </a:ext>
          </a:extLst>
        </xdr:cNvPr>
        <xdr:cNvSpPr txBox="1"/>
      </xdr:nvSpPr>
      <xdr:spPr>
        <a:xfrm>
          <a:off x="3794760" y="846397"/>
          <a:ext cx="601980" cy="312420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AR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TOTAL</a:t>
          </a:r>
          <a:endParaRPr lang="es-AR">
            <a:effectLst/>
          </a:endParaRPr>
        </a:p>
      </xdr:txBody>
    </xdr:sp>
    <xdr:clientData/>
  </xdr:twoCellAnchor>
  <xdr:twoCellAnchor>
    <xdr:from>
      <xdr:col>7</xdr:col>
      <xdr:colOff>298133</xdr:colOff>
      <xdr:row>4</xdr:row>
      <xdr:rowOff>114876</xdr:rowOff>
    </xdr:from>
    <xdr:to>
      <xdr:col>8</xdr:col>
      <xdr:colOff>305118</xdr:colOff>
      <xdr:row>7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79F1A304-A939-454E-988D-7CBF98265A9F}"/>
            </a:ext>
          </a:extLst>
        </xdr:cNvPr>
        <xdr:cNvSpPr txBox="1"/>
      </xdr:nvSpPr>
      <xdr:spPr>
        <a:xfrm>
          <a:off x="5243513" y="846396"/>
          <a:ext cx="799465" cy="47948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Promedio</a:t>
          </a:r>
          <a:r>
            <a:rPr lang="es-AR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ventas</a:t>
          </a:r>
        </a:p>
        <a:p>
          <a:endParaRPr lang="es-AR">
            <a:effectLst/>
          </a:endParaRPr>
        </a:p>
      </xdr:txBody>
    </xdr:sp>
    <xdr:clientData/>
  </xdr:twoCellAnchor>
  <xdr:twoCellAnchor>
    <xdr:from>
      <xdr:col>9</xdr:col>
      <xdr:colOff>286703</xdr:colOff>
      <xdr:row>4</xdr:row>
      <xdr:rowOff>114876</xdr:rowOff>
    </xdr:from>
    <xdr:to>
      <xdr:col>10</xdr:col>
      <xdr:colOff>316548</xdr:colOff>
      <xdr:row>7</xdr:row>
      <xdr:rowOff>137159</xdr:rowOff>
    </xdr:to>
    <xdr:sp macro="" textlink="">
      <xdr:nvSpPr>
        <xdr:cNvPr id="66" name="CuadroTexto 65">
          <a:extLst>
            <a:ext uri="{FF2B5EF4-FFF2-40B4-BE49-F238E27FC236}">
              <a16:creationId xmlns:a16="http://schemas.microsoft.com/office/drawing/2014/main" id="{640293DD-396D-4891-84F4-16602E5B77DF}"/>
            </a:ext>
          </a:extLst>
        </xdr:cNvPr>
        <xdr:cNvSpPr txBox="1"/>
      </xdr:nvSpPr>
      <xdr:spPr>
        <a:xfrm>
          <a:off x="6817043" y="846396"/>
          <a:ext cx="822325" cy="57092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Máximo de</a:t>
          </a:r>
          <a:r>
            <a:rPr lang="es-AR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ventas</a:t>
          </a:r>
          <a:endParaRPr lang="es-AR">
            <a:effectLst/>
          </a:endParaRPr>
        </a:p>
      </xdr:txBody>
    </xdr:sp>
    <xdr:clientData/>
  </xdr:twoCellAnchor>
  <xdr:twoCellAnchor>
    <xdr:from>
      <xdr:col>11</xdr:col>
      <xdr:colOff>305753</xdr:colOff>
      <xdr:row>4</xdr:row>
      <xdr:rowOff>114876</xdr:rowOff>
    </xdr:from>
    <xdr:to>
      <xdr:col>12</xdr:col>
      <xdr:colOff>297498</xdr:colOff>
      <xdr:row>7</xdr:row>
      <xdr:rowOff>167639</xdr:rowOff>
    </xdr:to>
    <xdr:sp macro="" textlink="">
      <xdr:nvSpPr>
        <xdr:cNvPr id="67" name="CuadroTexto 66">
          <a:extLst>
            <a:ext uri="{FF2B5EF4-FFF2-40B4-BE49-F238E27FC236}">
              <a16:creationId xmlns:a16="http://schemas.microsoft.com/office/drawing/2014/main" id="{AF4D6E84-056A-45C4-823C-D45A1242F9A4}"/>
            </a:ext>
          </a:extLst>
        </xdr:cNvPr>
        <xdr:cNvSpPr txBox="1"/>
      </xdr:nvSpPr>
      <xdr:spPr>
        <a:xfrm>
          <a:off x="8421053" y="846396"/>
          <a:ext cx="784225" cy="6014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 sz="1100" b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Mínimo</a:t>
          </a:r>
          <a:r>
            <a:rPr lang="es-AR" sz="1100" b="0" baseline="0">
              <a:solidFill>
                <a:schemeClr val="dk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de ventas </a:t>
          </a:r>
          <a:endParaRPr lang="es-AR">
            <a:effectLst/>
          </a:endParaRPr>
        </a:p>
      </xdr:txBody>
    </xdr:sp>
    <xdr:clientData/>
  </xdr:twoCellAnchor>
  <xdr:twoCellAnchor editAs="oneCell">
    <xdr:from>
      <xdr:col>13</xdr:col>
      <xdr:colOff>517865</xdr:colOff>
      <xdr:row>9</xdr:row>
      <xdr:rowOff>164510</xdr:rowOff>
    </xdr:from>
    <xdr:to>
      <xdr:col>14</xdr:col>
      <xdr:colOff>85385</xdr:colOff>
      <xdr:row>11</xdr:row>
      <xdr:rowOff>158750</xdr:rowOff>
    </xdr:to>
    <xdr:pic>
      <xdr:nvPicPr>
        <xdr:cNvPr id="69" name="Gráfico 68" descr="Monedas">
          <a:extLst>
            <a:ext uri="{FF2B5EF4-FFF2-40B4-BE49-F238E27FC236}">
              <a16:creationId xmlns:a16="http://schemas.microsoft.com/office/drawing/2014/main" id="{1012E7F9-3CE9-4032-A844-158CE40336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10218125" y="1810430"/>
          <a:ext cx="360000" cy="360000"/>
        </a:xfrm>
        <a:prstGeom prst="rect">
          <a:avLst/>
        </a:prstGeom>
      </xdr:spPr>
    </xdr:pic>
    <xdr:clientData/>
  </xdr:twoCellAnchor>
  <xdr:twoCellAnchor>
    <xdr:from>
      <xdr:col>13</xdr:col>
      <xdr:colOff>244952</xdr:colOff>
      <xdr:row>4</xdr:row>
      <xdr:rowOff>114877</xdr:rowOff>
    </xdr:from>
    <xdr:to>
      <xdr:col>14</xdr:col>
      <xdr:colOff>358299</xdr:colOff>
      <xdr:row>7</xdr:row>
      <xdr:rowOff>1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36074635-5034-485C-9CAD-7649181F15E8}"/>
            </a:ext>
          </a:extLst>
        </xdr:cNvPr>
        <xdr:cNvSpPr txBox="1"/>
      </xdr:nvSpPr>
      <xdr:spPr>
        <a:xfrm>
          <a:off x="9945212" y="846397"/>
          <a:ext cx="905827" cy="433764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AR">
              <a:effectLst/>
            </a:rPr>
            <a:t>Precio</a:t>
          </a:r>
          <a:r>
            <a:rPr lang="es-AR" baseline="0">
              <a:effectLst/>
            </a:rPr>
            <a:t> promedio</a:t>
          </a:r>
        </a:p>
        <a:p>
          <a:endParaRPr lang="es-AR">
            <a:effectLst/>
          </a:endParaRPr>
        </a:p>
      </xdr:txBody>
    </xdr:sp>
    <xdr:clientData/>
  </xdr:twoCellAnchor>
  <xdr:twoCellAnchor editAs="absolute">
    <xdr:from>
      <xdr:col>3</xdr:col>
      <xdr:colOff>129540</xdr:colOff>
      <xdr:row>4</xdr:row>
      <xdr:rowOff>144780</xdr:rowOff>
    </xdr:from>
    <xdr:to>
      <xdr:col>4</xdr:col>
      <xdr:colOff>670560</xdr:colOff>
      <xdr:row>12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1" name="Categorías 1">
              <a:extLst>
                <a:ext uri="{FF2B5EF4-FFF2-40B4-BE49-F238E27FC236}">
                  <a16:creationId xmlns:a16="http://schemas.microsoft.com/office/drawing/2014/main" id="{10EC351E-B6E7-43EA-920F-6485A17DB43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ía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5000" y="876300"/>
              <a:ext cx="13335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AR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0.22717</cdr:x>
      <cdr:y>0.02316</cdr:y>
    </cdr:from>
    <cdr:to>
      <cdr:x>0.30011</cdr:x>
      <cdr:y>0.13255</cdr:y>
    </cdr:to>
    <cdr:pic>
      <cdr:nvPicPr>
        <cdr:cNvPr id="3" name="Gráfico 2" descr="Etiqueta">
          <a:extLst xmlns:a="http://schemas.openxmlformats.org/drawingml/2006/main">
            <a:ext uri="{FF2B5EF4-FFF2-40B4-BE49-F238E27FC236}">
              <a16:creationId xmlns:a16="http://schemas.microsoft.com/office/drawing/2014/main" id="{836E5033-034A-40AE-A12F-FF308542B21C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1121229" y="76200"/>
          <a:ext cx="360000" cy="360000"/>
        </a:xfrm>
        <a:prstGeom xmlns:a="http://schemas.openxmlformats.org/drawingml/2006/main" prst="rect">
          <a:avLst/>
        </a:prstGeom>
      </cdr:spPr>
    </cdr:pic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rio Neira" refreshedDate="45436.844611342596" createdVersion="6" refreshedVersion="6" minRefreshableVersion="3" recordCount="531" xr:uid="{02913A44-11E9-488E-BB2E-9D43E3F01CD1}">
  <cacheSource type="worksheet">
    <worksheetSource name="meli"/>
  </cacheSource>
  <cacheFields count="10">
    <cacheField name="id" numFmtId="0">
      <sharedItems/>
    </cacheField>
    <cacheField name="sold_quantity" numFmtId="0">
      <sharedItems containsSemiMixedTypes="0" containsString="0" containsNumber="1" containsInteger="1" minValue="3" maxValue="644060" count="411">
        <n v="91440"/>
        <n v="53500"/>
        <n v="33824"/>
        <n v="21048"/>
        <n v="13000"/>
        <n v="12803"/>
        <n v="12286"/>
        <n v="11128"/>
        <n v="10337"/>
        <n v="9953"/>
        <n v="5000"/>
        <n v="4100"/>
        <n v="3902"/>
        <n v="2250"/>
        <n v="1450"/>
        <n v="47772"/>
        <n v="28130"/>
        <n v="25687"/>
        <n v="15284"/>
        <n v="7240"/>
        <n v="5932"/>
        <n v="2378"/>
        <n v="2130"/>
        <n v="1256"/>
        <n v="500"/>
        <n v="250"/>
        <n v="150"/>
        <n v="100"/>
        <n v="25"/>
        <n v="325106"/>
        <n v="244784"/>
        <n v="219718"/>
        <n v="114220"/>
        <n v="80610"/>
        <n v="73699"/>
        <n v="73254"/>
        <n v="66453"/>
        <n v="60945"/>
        <n v="54835"/>
        <n v="42605"/>
        <n v="36127"/>
        <n v="23857"/>
        <n v="16848"/>
        <n v="16400"/>
        <n v="14639"/>
        <n v="13795"/>
        <n v="9264"/>
        <n v="8396"/>
        <n v="115448"/>
        <n v="94258"/>
        <n v="85090"/>
        <n v="83880"/>
        <n v="69956"/>
        <n v="68930"/>
        <n v="63918"/>
        <n v="62070"/>
        <n v="57602"/>
        <n v="54996"/>
        <n v="45938"/>
        <n v="40810"/>
        <n v="38271"/>
        <n v="30689"/>
        <n v="26730"/>
        <n v="19082"/>
        <n v="18676"/>
        <n v="12693"/>
        <n v="10670"/>
        <n v="21464"/>
        <n v="4380"/>
        <n v="2994"/>
        <n v="2662"/>
        <n v="2159"/>
        <n v="730"/>
        <n v="691"/>
        <n v="326"/>
        <n v="200"/>
        <n v="80"/>
        <n v="60"/>
        <n v="43"/>
        <n v="555872"/>
        <n v="274340"/>
        <n v="185822"/>
        <n v="77002"/>
        <n v="56890"/>
        <n v="34291"/>
        <n v="14715"/>
        <n v="8749"/>
        <n v="4250"/>
        <n v="3752"/>
        <n v="900"/>
        <n v="93706"/>
        <n v="81434"/>
        <n v="79528"/>
        <n v="64718"/>
        <n v="54811"/>
        <n v="53938"/>
        <n v="47786"/>
        <n v="46932"/>
        <n v="39180"/>
        <n v="28988"/>
        <n v="25502"/>
        <n v="23442"/>
        <n v="21922"/>
        <n v="15680"/>
        <n v="7005"/>
        <n v="5569"/>
        <n v="5074"/>
        <n v="1950"/>
        <n v="3"/>
        <n v="149096"/>
        <n v="64136"/>
        <n v="60610"/>
        <n v="58558"/>
        <n v="57761"/>
        <n v="55218"/>
        <n v="27588"/>
        <n v="22744"/>
        <n v="21023"/>
        <n v="19250"/>
        <n v="13768"/>
        <n v="13109"/>
        <n v="12257"/>
        <n v="11582"/>
        <n v="11540"/>
        <n v="9713"/>
        <n v="8497"/>
        <n v="7577"/>
        <n v="5500"/>
        <n v="4120"/>
        <n v="248418"/>
        <n v="107156"/>
        <n v="52038"/>
        <n v="50000"/>
        <n v="40196"/>
        <n v="24198"/>
        <n v="18604"/>
        <n v="11453"/>
        <n v="11226"/>
        <n v="10105"/>
        <n v="9004"/>
        <n v="8551"/>
        <n v="7967"/>
        <n v="7790"/>
        <n v="7591"/>
        <n v="4973"/>
        <n v="4774"/>
        <n v="644060"/>
        <n v="265262"/>
        <n v="259092"/>
        <n v="107140"/>
        <n v="95750"/>
        <n v="89992"/>
        <n v="78260"/>
        <n v="42883"/>
        <n v="20545"/>
        <n v="10317"/>
        <n v="7500"/>
        <n v="6767"/>
        <n v="5970"/>
        <n v="2150"/>
        <n v="155144"/>
        <n v="146240"/>
        <n v="103176"/>
        <n v="101488"/>
        <n v="71218"/>
        <n v="32594"/>
        <n v="22168"/>
        <n v="21676"/>
        <n v="19009"/>
        <n v="15032"/>
        <n v="12740"/>
        <n v="10738"/>
        <n v="10546"/>
        <n v="7891"/>
        <n v="7552"/>
        <n v="6932"/>
        <n v="6500"/>
        <n v="5519"/>
        <n v="1181"/>
        <n v="71768"/>
        <n v="64276"/>
        <n v="56942"/>
        <n v="55752"/>
        <n v="54820"/>
        <n v="53104"/>
        <n v="46410"/>
        <n v="41164"/>
        <n v="35540"/>
        <n v="20794"/>
        <n v="19138"/>
        <n v="6724"/>
        <n v="4648"/>
        <n v="4400"/>
        <n v="3206"/>
        <n v="121198"/>
        <n v="49118"/>
        <n v="40248"/>
        <n v="40036"/>
        <n v="14547"/>
        <n v="9843"/>
        <n v="9587"/>
        <n v="7612"/>
        <n v="7480"/>
        <n v="2521"/>
        <n v="1516"/>
        <n v="1128"/>
        <n v="1000"/>
        <n v="170052"/>
        <n v="116726"/>
        <n v="84086"/>
        <n v="78628"/>
        <n v="71592"/>
        <n v="67042"/>
        <n v="62428"/>
        <n v="48734"/>
        <n v="45084"/>
        <n v="43998"/>
        <n v="39822"/>
        <n v="37778"/>
        <n v="9050"/>
        <n v="4000"/>
        <n v="3400"/>
        <n v="2882"/>
        <n v="2050"/>
        <n v="49330"/>
        <n v="46843"/>
        <n v="43784"/>
        <n v="41982"/>
        <n v="24466"/>
        <n v="23452"/>
        <n v="21974"/>
        <n v="20000"/>
        <n v="16970"/>
        <n v="13426"/>
        <n v="10288"/>
        <n v="6343"/>
        <n v="5746"/>
        <n v="4786"/>
        <n v="4480"/>
        <n v="2035"/>
        <n v="1905"/>
        <n v="142492"/>
        <n v="113056"/>
        <n v="80262"/>
        <n v="56816"/>
        <n v="52524"/>
        <n v="46258"/>
        <n v="46038"/>
        <n v="24827"/>
        <n v="24149"/>
        <n v="22352"/>
        <n v="19524"/>
        <n v="5307"/>
        <n v="159296"/>
        <n v="67098"/>
        <n v="45066"/>
        <n v="30908"/>
        <n v="28454"/>
        <n v="20988"/>
        <n v="20266"/>
        <n v="17179"/>
        <n v="16630"/>
        <n v="13368"/>
        <n v="7746"/>
        <n v="7262"/>
        <n v="2322"/>
        <n v="1609"/>
        <n v="1195"/>
        <n v="88178"/>
        <n v="87508"/>
        <n v="68180"/>
        <n v="67073"/>
        <n v="50132"/>
        <n v="47500"/>
        <n v="22552"/>
        <n v="20682"/>
        <n v="20480"/>
        <n v="9150"/>
        <n v="8074"/>
        <n v="5150"/>
        <n v="4377"/>
        <n v="2000"/>
        <n v="13866"/>
        <n v="13215"/>
        <n v="7582"/>
        <n v="5200"/>
        <n v="2926"/>
        <n v="2775"/>
        <n v="1985"/>
        <n v="1702"/>
        <n v="13313"/>
        <n v="6025"/>
        <n v="5726"/>
        <n v="5642"/>
        <n v="4500"/>
        <n v="4001"/>
        <n v="3444"/>
        <n v="2120"/>
        <n v="2047"/>
        <n v="1250"/>
        <n v="1105"/>
        <n v="533"/>
        <n v="507"/>
        <n v="29546"/>
        <n v="18254"/>
        <n v="5700"/>
        <n v="4047"/>
        <n v="2975"/>
        <n v="2742"/>
        <n v="1500"/>
        <n v="1432"/>
        <n v="1380"/>
        <n v="1362"/>
        <n v="1075"/>
        <n v="1004"/>
        <n v="976"/>
        <n v="803"/>
        <n v="600"/>
        <n v="410"/>
        <n v="385"/>
        <n v="355"/>
        <n v="37130"/>
        <n v="19252"/>
        <n v="17399"/>
        <n v="16402"/>
        <n v="13501"/>
        <n v="11577"/>
        <n v="11195"/>
        <n v="11169"/>
        <n v="11074"/>
        <n v="9271"/>
        <n v="9134"/>
        <n v="5031"/>
        <n v="351"/>
        <n v="47536"/>
        <n v="19110"/>
        <n v="5846"/>
        <n v="5716"/>
        <n v="3974"/>
        <n v="3030"/>
        <n v="3011"/>
        <n v="2968"/>
        <n v="2396"/>
        <n v="2119"/>
        <n v="1189"/>
        <n v="1164"/>
        <n v="1159"/>
        <n v="755"/>
        <n v="626"/>
        <n v="368"/>
        <n v="243"/>
        <n v="1178"/>
        <n v="1144"/>
        <n v="718"/>
        <n v="520"/>
        <n v="502"/>
        <n v="455"/>
        <n v="163"/>
        <n v="143"/>
        <n v="82"/>
        <n v="50"/>
        <n v="5"/>
        <n v="32362"/>
        <n v="24212"/>
        <n v="21422"/>
        <n v="9956"/>
        <n v="9292"/>
        <n v="9002"/>
        <n v="5650"/>
        <n v="4762"/>
        <n v="4192"/>
        <n v="3329"/>
        <n v="1750"/>
        <n v="565"/>
        <n v="340"/>
        <n v="57157"/>
        <n v="19937"/>
        <n v="15870"/>
        <n v="13402"/>
        <n v="11971"/>
        <n v="9615"/>
        <n v="8161"/>
        <n v="7731"/>
        <n v="4755"/>
        <n v="4405"/>
        <n v="4044"/>
        <n v="4025"/>
        <n v="3993"/>
        <n v="3789"/>
        <n v="3184"/>
        <n v="2285"/>
        <n v="2245"/>
        <n v="1850"/>
        <n v="131864"/>
        <n v="108874"/>
        <n v="47988"/>
        <n v="34734"/>
        <n v="25598"/>
        <n v="16216"/>
        <n v="7913"/>
        <n v="6008"/>
        <n v="3010"/>
        <n v="9750"/>
        <n v="4750"/>
        <n v="3750"/>
        <n v="1056"/>
        <n v="960"/>
        <n v="950"/>
        <n v="885"/>
        <n v="362"/>
        <n v="331"/>
      </sharedItems>
    </cacheField>
    <cacheField name="name" numFmtId="0">
      <sharedItems count="529">
        <s v="Smart Tech JSD-520"/>
        <s v="Neumático Pirelli Formula Energy P 175/65R14 82 T"/>
        <s v="Cubierta trasera para moto Pirelli Super City para uso con cámara de 90/90-18 P 51 x 1 unidad"/>
        <s v="Pack 4 Paños Microfibra Multiuso Limpieza Auto Hogar Oficina Color Varios"/>
        <s v="Kit Led Cree Cob H1 H7 H3 9005 12/24v 2019 C6+ 2 Posicion"/>
        <s v="Aceite para motor Total semi-sintético 10W-40 para autos, pickups &amp; suvs de 1 unidad x 4L"/>
        <s v="Aceite para motor Valvoline semi-sintético 10W-40 para autos, pickups &amp; suv de 1 unidad x 3.784L"/>
        <s v="Aspiradora Para Auto Y Hogar Yelmo As-3240 Recargable Usb C"/>
        <s v="Aceite para motor Shell semi-sintético 10W-40 para autos, pickups &amp; suvs x 4L"/>
        <s v="Shell Helix HX8 Professional AV 5W-40 - 4 L - Unidad - 1 - 4 L"/>
        <s v="Scanner Automotriz Multimarca Elm327 Obd2 V2.1 Bluetooth"/>
        <s v="Cubierta Drook 2.75 14 Tt 6 Telas Trip/biz/smash/110c"/>
        <s v="Candado Blindado Para Moto Traba Disco Con Alarma 2 Llaves"/>
        <s v="Stereo Auto Doble Din Pantalla Tactil Mirrorlink Camara Rev"/>
        <s v="Stereo Auto Pantalla Bluetooth Mp3 Usb Fm Lcd Auto"/>
        <s v="Funda Cubre Moto Cobertor Lluvia Polvo Sol.  Cubre Moto"/>
        <s v="Stereo Para Auto Bluetooth Display Lcd Mp3 Usb Radio Fm Sd"/>
        <s v="Funda Cubre Coche Impermeable Con Bolso De Regalo S-xl"/>
        <s v="Kit Cree Led C6 Mini H4 H1 H7 H3 H8 H11 H16 Psx24w 9006"/>
        <s v="Hidrolavadora eléctrica Lüsqtoff HL-120 naranja y negra de 1200W con 105bar de presión máxima 220V - 50Hz"/>
        <s v="Lüsqtoff Flux SML130-7 - Naranja/Negro - 220V - 50 Hz"/>
        <s v="Lüsqtoff Megairon-100 - Naranja/Negro - 220V - 50 Hz/60 Hz"/>
        <s v="Bomba periférica Gamma Leve QB60 0.5hp color celeste 60Hz 220V"/>
        <s v="Hidrolavadora eléctrica Daewoo Eco DAX21-150 de 2000W con 140bar de presión máxima 220V"/>
        <s v="Soldadora inverter Daewoo MINIDWMMA MINIDW100MMA MINIDW100MMA negra y naranja 50Hz 220V"/>
        <s v="Hidrolavadora eléctrica Cadena Zero HI110 ZEHI110 de 1450W con 110bar de presión máxima 220V"/>
        <s v="Kushiro BP 80 - Negro - 220V - 1 hp"/>
        <s v="Tanque De Agua 300 Lts Extra Chato 64 Cm Alto X 83 Cm Diam"/>
        <s v="Hilo Electroplastico Electroplast 1000 Metros Standard Full"/>
        <s v="Hilo Electroplastico Electroplast 500 Metros Standard Full"/>
        <s v="100 Aisladores Aislantes Para Boyero Campanita Envio Rapido"/>
        <s v="Hilo Boyero Electrico Electroplast® 500 Metros Standard 4h"/>
        <s v="Pinza Caravanas Universal Tipo Allflex Con Aguja De Repuesto"/>
        <s v="Boyero Vaquero 60 Km Mas Panel Solar 10w"/>
        <s v="Electrificador - Boyero Electro 5km"/>
        <s v="Pinza Elastrator Castracion Bovino / Ovino + 100 Gomitas"/>
        <s v="Cable Electroplastico 6 Alambres X 500mts [4 Bobinas] Boyero"/>
        <s v="Electrificador - Boyero Electro 15km"/>
        <s v="Semillas De Mijo Forrajero Siembra, Pastura, Brote X 30 Kg"/>
        <s v="Café au lait en cápsula Nescafé Dolce Gusto"/>
        <s v="16 Capsulas Cortado Espresso Dolce Gusto Nescafe"/>
        <s v="Cápsulas Nescafé Dolce Gusto Lungo"/>
        <s v="Cápsulas Nescafé Dolce Gusto Cappuccino"/>
        <s v="Cápsulas Nescafé Dolce Gusto Latte Macchiato"/>
        <s v="Yerba mate Playadito suave 1000g"/>
        <s v="Mayonesa Natura sin TACC en doypack 500 ml"/>
        <s v="Leche Descremada Larga Vida X 1 L Tregar "/>
        <s v="Aceite de girasol Natura botellasin TACC 1.5 l "/>
        <s v="Mayonesa Natura sin gluten doypack 950g"/>
        <s v="Fideos Tirabuzón Lucchetti 500g"/>
        <s v="Yerba mate Canarias sabor tradicional 1kg"/>
        <s v="Cápsulas Starbucks Caramel Macchiato X 12 Dolce Gusto"/>
        <s v="Galletitas De Agua Sandwich La Providencia Pack Familiar X5"/>
        <s v="Aceite de girasol Natura botella3 l "/>
        <s v="Aceite De Coco God Bless You Neutro 1L"/>
        <s v=" Muecas Caja X16 Barritas Cereal Chocolate Avellanas Y Coco"/>
        <s v="Galletitas Surtido Bagley Paquete De 398 Grs"/>
        <s v="Caja 40 Alfajores Guaymallen Chocolate Negro Dulce De Leche"/>
        <s v="Oferta De Vino Luigi  En Combo (8 Botellas)a. Quirino "/>
        <s v="Alimento Excellent Adult para gato adulto sabor pollo y arroz en bolsa de 7.5 kg"/>
        <s v="Alimento Royal Canin Size Health Nutrition Mini Adult para perro adulto de raza pequeña sabor mix en bolsa de 7.5 kg"/>
        <s v="Alimento Royal Canin Club Performance Adult para perro adulto todos los tamaños sabor mix en bolsa de 20 kg"/>
        <s v="Alimento Maintenance Criadores  para perro adulto todos los tamaños sabor carne y pollo en bolsa de 22 kg"/>
        <s v="Agroindustrias Baires Old Prince Premium Perro Adulto - Todos los tamaños - Pollo/Carne - 20 kg - Bolsa - Seca"/>
        <s v="Alimento Excellent Adult para gato adulto sabor pollo y arroz en bolsa de 15 kg"/>
        <s v="Purina Excellent Urinary Gato Adulto - Pollo/Arroz - 7.5 kg - 7.5 kg - Bolsa - Seca - Unidad - 1"/>
        <s v="Alimento Excellent Maintenance Formula para perro adulto todos los tamaños sabor mix en bolsa de 20 kg"/>
        <s v="Alimento Sieger Criadores All In One para perro todos los tamaños en bolsa de 20 kg"/>
        <s v="Alimento Royal Canin Size Health Nutrition Medium Adult para perro adulto de raza mediana sabor mix en bolsa de 15 kg"/>
        <s v="Mars Petcare Royal Canin Size Health Nutrition Maxi Adult Perro Adulto - Grande - Mix - 15 kg - Bolsa - Seca"/>
        <s v="Alimento Royal Canin Club Performance para gato adulto sabor mix en bolsa de 7.5 kg"/>
        <s v="Alimento Pro Plan OptiHealth Pro Plan para perro adulto de raza mediana sabor pollo y arroz en bolsa de 18 kg"/>
        <s v="Alimento Pedigree Óptima Digestión Etapa 2 para perro adulto todos los tamaños sabor carne, pollo y cereales en bolsa de 21 kg"/>
        <s v="Alimento Agility Active Health para perro adulto de raza mediana y grande sabor mix en bolsa de 20 kg"/>
        <s v="Alimento Agility Premium Urinary para gato adulto sabor mix en bolsa de 10 kg"/>
        <s v="Alimento Royal Canin Feline Health Nutrition Fit para gato adulto sabor mix en bolsa de 15 kg"/>
        <s v="Old Prince Noveles Cordero Y Arroz Adulto  X 18 Kg"/>
        <s v="Old Prince Premium Adultos Todos Los Tamaños En Bolsa De 23 Kg"/>
        <s v="Piedritas Para Gatos Aglomerante Rubicat 21,2kg Persa Siames"/>
        <s v="Samsung VC20CCNMA 1.5 L - Negro - 220V"/>
        <s v="Mini Perfumero Portátil Recargable 5ml Atomizador Colores"/>
        <s v="Oster Perfect Brew BVSTEM7300 - Acero inoxidable - 220V"/>
        <s v="Molinillo De Cafe Y Semillas Peabody Smart Chef Pe-mc9100"/>
        <s v="Molinillo De Cafe Ultracomb Mo8100a 120w Acero Inoxidable"/>
        <s v="Mini Perfumero Portatil Recargable 5ml Ideal Viajes Colores"/>
        <s v="Mini Perfumero Portatil Recargable 5ml Atomizador Colores"/>
        <s v="Molinillo De Cafe Oster Mh23 Color Gris"/>
        <s v="Bandera Argentina 90 X 150cm Con Sol Oferta!!!"/>
        <s v="Mini Perfumero Recargable 8ml A Rosca Porta Perfume Locion"/>
        <s v="Licuadora De Vaso Atma Li8444rp 500w 5 Velocidades"/>
        <s v="Banderas Publicitarias Promocionales Personalizadas 100x70cm"/>
        <s v="Bandera Argentina 60 X 90cm Con Sol Oferta!!!"/>
        <s v="Bandera Argentina De Flameo *140x250cms* - Oficial Reforzada"/>
        <s v="5 Mini Perfumeros Portátil Recargable 5ml Atomizador Colores"/>
        <s v="Mini Perfumero Recargable X 5u Via Atomizador 5ml Promoción"/>
        <s v="Regalo Dia Amigo X 10 U. Perfumero Recargable 5ml Atomizador"/>
        <s v="Bandera Javier Milei 2023 90 X 150cm"/>
        <s v="Art-Jet A4 fotográfico de 20 hojas de 115g color blanco por unidad"/>
        <s v="Resma Punax A4 75 gr"/>
        <s v="Resma Autor A4 multifunción de 500 hojas de 75g color blanco por unidad"/>
        <s v="Resma Boreal A4 multifunción de 500 hojas de 75g color blanco por unidad"/>
        <s v="Kit 10 Resma Pampa A4 multifunción de 500 hojas de 70 gr color blanco"/>
        <s v="Pizarra Blanca 120x300 Marco Aluminio Clase X Zoom O Escuela"/>
        <s v="Pizarra Blanca 90x140cm Prémium + Accesorios"/>
        <s v="Cinta Al Bies Colores Varios Ancho 20 Mm Rollo X 25 Mts"/>
        <s v="Resma A4 Pampa 500 Hojas 70gr Papel Blanco X 10unid"/>
        <s v="Kit 10 Resmas Pampa A4 70 G Papel Blanco Caja X10 U"/>
        <s v="Calculadora Científica 20 Dígitos Funciones Números Escolar"/>
        <s v="Kit 10 Resmas Boreal A4 75gr 21x29,7 Papel Blanco Alcalino"/>
        <s v="Cera De Soja Comercial X 1 Kilo. Soy Wax. Excelente Calidad."/>
        <s v="Hilo De Algodon Macrame Crudo Mejor Calidad Varios Grosores "/>
        <s v="Lapicera Parker Jotter Con Grabado De Texto O Logo"/>
        <s v="Marcadores Filgo Alloy Sketch Artisticos Doble Punta X 12 Un"/>
        <s v="200 Dijes Cuentas Plásticas Blancas C/letra Color Negro 7mm"/>
        <s v="Cinta Doble Faz Transparente Silicona Nanotecnología 1m"/>
        <s v="Resina Joyería Epoxi Transparente Vidrio Liquido 150g Joyas"/>
        <s v="Marcadores Mooving Pincelados Punta Pincel Set X 16 Colores"/>
        <s v="Huggies Supreme Care - XXG - Sin género - 50"/>
        <s v="Leche de fórmula en polvo sin TACC Nutricia Bagó Nutrilon Profutura 2 en bolsa de 1 de 1.2kg - 6  a 12 meses"/>
        <s v="Nutricia Bagó Nutrilon Profutura 3 En polvo - Bolsa - Unidad - 1 - 1.2 kg"/>
        <s v="Pañales Huggies Supreme Care  XG 52 u"/>
        <s v="Óleo calcáreo Estrella Baby Sin Fragancia 950 ml"/>
        <s v="Leche de fórmula en polvo sin TACC Nutricia Bagó Nutrilon Profutura 1 en bolsa de 1 de 1.2kg - 0  a 6 meses"/>
        <s v="Toallitas húmedas Q-Soft Aloe Vera 50 u"/>
        <s v="Pampers Premium Care Pants - XXG - Sin género - 52"/>
        <s v="Nutrilon 1 Profutura - 0 A 6 Meses Brick 200ml X 24un"/>
        <s v="Nutrilon 2 Profutura - 6 A 12 Meses Brick 200ml X 24un"/>
        <s v="Nestlé nidina 2 polvo 800gr"/>
        <s v="Leche de fórmula líquida sin TACC Mead Johnson SanCor Bebé 2 en brick - Pack de 12 de 500mL - 6  a 12 meses"/>
        <s v="Toallas Húmedas Huggies Triple Protección X 80unidades M A F"/>
        <s v="Nutrilon 3 Profutura - 1 Año En Adelante Brick 200ml X 24un"/>
        <s v="Pañales Pampers Premium Care XXG 88 unidades"/>
        <s v="Juguete Cactus Bailarín Con Música Canta Baila Y Repite Voz"/>
        <s v="Pañales Pampers Premium Hipoalergenico  XG 96 u"/>
        <s v="Fular Portabebe Porteo Ergonomico Talle Universal 5 Metros!!"/>
        <s v="Cactus Bailarin Tiktok Juguete Baila Canta Repite Voz"/>
        <s v="Bañera Bebe Plegable Ultra Compacta Tapón De Drenaje Love "/>
        <s v="Serum Revitalift Loreal Paris Ácido Hialurónico 30ml"/>
        <s v="Garnier Skin Active Sérum iluminador Vitamina C día/noche para todo tipo de piel de 30mL"/>
        <s v="Recortadora Vintage Profissional T9 negra"/>
        <s v="Protector solar Eucerin Oil Control FPS 50 Toque Seco en gel crema de 50 mL"/>
        <s v="Serum Oleo Extraordinario Nutricion X100 Elvive Loreal Paris"/>
        <s v="Planchita de pelo GA.MA Italy Bella Tourmaline Red Ion negra y roja 110V/220V"/>
        <s v="Perfume Banderas Blue Seduction Edt 100 Ml Para Hombre"/>
        <s v="Secador de pelo GA.MA Italy Mistral Ceramic ION negro 220V"/>
        <s v="Cepillo Plancha Pelo Alisador Secador Electrico Cabello"/>
        <s v="Protector Labial Humectante Nivea Blackberry Shine 4,8 Grs"/>
        <s v="Cher. Dieciocho EDP 100 ml para  mujer  "/>
        <s v="Protector Labial Nivea By Labello Fruity Shine Cereza Cherry"/>
        <s v="Maquina De Cortar Pelo Recortadora Patillera Vintage Dragon"/>
        <s v="Secador de pelo BL SECA01 TEDGE 220V"/>
        <s v="Sérum Brightening Serum Lidherma Radian C con vitamina C y ac. hialurónico 30g"/>
        <s v="Serum Noche L'Oréal Paris Revitalift Retinol de 30ml"/>
        <s v="Anthelios Uvmune 400 Fluido Invisible50+ La Roche-posay 50ml"/>
        <s v="Protector Solar Loreal Paris Fps50+ Uv Defender Fluido 40gr"/>
        <s v="Kit Revitalift L' Oréal Paris Ácido Hialurónico Antiedad"/>
        <s v="Secador de pelo Revlon rvdr773pla2a violeta violeta 220V"/>
        <s v="Auriculares in-ear inalámbricos QCY T1C negro con luz LED"/>
        <s v="Dongguan Liesheng Electronic Technology Xiaomi Redmi Buds 3 Lite M2110E1 - Negro - 1"/>
        <s v="Xiaomi Mi Smart Band 7 1.62&quot; caja 170mm  negra, malla  negra M2129B1"/>
        <s v="Aro De Luz Led 26 Cm Con Trípode 2 Metros"/>
        <s v="Tarjeta de memoria Kingston SDCS2SP  Canvas Select Plus con adaptador SD 128GB"/>
        <s v="Samsung Galaxy A04 128 GB  negro 4 GB RAM"/>
        <s v="Motorola Moto E13 64gb 2gb Ram Azul Turquesa"/>
        <s v="Moto G32 128gb 4 Gb Ram Gris "/>
        <s v="Samsung Galaxy A14 128gb 4gb Ram Negro"/>
        <s v="Auriculares Inalámbricos Xiaomi Redmi Buds Essential Color Negro"/>
        <s v="Xiaomi Redmi Note 11 (Snapdragon) Dual SIM 128 GB  gris grafito 4 GB RAM"/>
        <s v="Celular Motorola Moto E13 64gb 2gb Ram Color Blanco"/>
        <s v=" Moto G72 128 GB  azul niágara 6 GB RAM"/>
        <s v="Samsung Galaxy A04 64gb Color Negro"/>
        <s v="Samsung Galaxy A14 128gb 4gb Ram Silver"/>
        <s v="Smart Watch Zl02d Reloj Inteligente Para Samsung Xiaomi Y +"/>
        <s v=" Moto G13 Dual SIM 128 GB  azul difuso 4 GB RAM"/>
        <s v="Xiaomi Redmi Note 11 (Snapdragon) Dual SIM 128 GB  azul estelar 4 GB RAM"/>
        <s v="Cargador Samsung Ultra Rapido Original 25w Cable Tipo C A C"/>
        <s v="Auriculares Bluetooth In-Ear Gamer F9-5 Negro Inalámbricos"/>
        <s v="Disco sólido interno Kingston SA400S37/480G 480GB negro"/>
        <s v="Disco sólido interno Kingston SA400S37/240G 240GB negro"/>
        <s v="Monitor gamer Samsung F24T35 led 24&quot; azul y gris oscuro 100V/240V"/>
        <s v="Auriculares in-ear gamer inalámbricos TWS F9-5 BTH-F9-5 negro"/>
        <s v="Kit de teclado y mouse inalámbrico Logitech MK235 Español - Negro"/>
        <s v="Disco sólido interno Kingston SA400S37/960G 960GB"/>
        <s v="Cargador Universal Notebook Laptop Netbook Hp Toshiba Acer"/>
        <s v="Memoria RAM Fury Beast DDR4 gamer color negro 8GB 1 Kingston KF432C16BB/8"/>
        <s v="Pendrive Kingston Datatraveler Exodia M Dtxm/64 64gb Usb 3.2"/>
        <s v="Disco Solido Ssd 1tb M.2 Kingston Snv2s/1000g Nvme Pcie 4.0"/>
        <s v="Filamento Pla 1.75mm 3n3 1kg Impresora 3d Colores | Icutech"/>
        <s v="Kingston SNV2S/500G 500 GB - Azul"/>
        <s v="Auriculares in-ear gamer inalámbricos Soundpeats Free2 Classic negro con luz LED"/>
        <s v="Toner Alternativo Para 105a 107w 135w 1105a 107a 135a S/chip"/>
        <s v="Resma Papel Brillo Autoadhesivo Sticker Calcomanias 100hs"/>
        <s v="Toner Alternativo Para Brother Hl1212w 1617 1200 1212 Tn1060"/>
        <s v="Filamento Pla+ 1.75mm 3nmax 1kg Impresora 3d | Icutech"/>
        <s v="Joystick inalámbrico Sony PlayStation Dualshock 3 negro"/>
        <s v="Genérica F9 - Negro"/>
        <s v="Grand Theft Auto V  Standard Edition Rockstar Games PS3 Digital"/>
        <s v="Auriculares gamer Kotion Each G9000 black y blue con luz LED"/>
        <s v="Minecraft  Standard Edition Sony PS3 Digital"/>
        <s v="Auriculares gamer Kotion Each G9000 black y red con luz LED"/>
        <s v="Joystick inalámbrico Sony PlayStation Dualshock 3 rojo"/>
        <s v="Joystick inalámbrico Sony PlayStation Dualshock 3 metallic blue"/>
        <s v="FIFA 23  Standard Edition Electronic Arts PS4 Físico"/>
        <s v="Joystick inalámbrico Microsoft Xbox Wireless Controller Series X|S carbon black"/>
        <s v="Joystick inal PS5 Sony DualSense CFI-ZCT1 midnight black"/>
        <s v="FIFA 23  Standard Edition Electronic Arts PS4 Digital"/>
        <s v="Joystick inalámbrico Sony PlayStation DualSense CFI-ZCT1 cosmic red"/>
        <s v="Grand Theft Auto V  Premium Edition Rockstar Games PS4 Físico"/>
        <s v="Plants vs. Zombies: Battle for Neighborville  Standard Edition Electronic Arts PS4 Físico"/>
        <s v="Mando inalámbrico para consola de juegos - Color negro - Compatible con PS4"/>
        <s v="Membrana Keypad Flex Botones Joystick Para Ps4 Todos Modelos"/>
        <s v="Joystick Inalámbrico PS4 para  Sony PlayStation Dualshock 4 - Color Negro"/>
        <s v="Repuesto Stick Analogico Control Joystick Original Para Ps4"/>
        <s v="Joystick Ps4 Generico Inalámbrico + Cable De Carga"/>
        <s v="Bomba presurizadora Femmto BP30L-9M 100W - 220V"/>
        <s v="Pintura Látex Interior Antihongos Cubritiva Polacrin 20 L"/>
        <s v="Extractor de aire Hydra HY-VF150A 150mm blanco 6 pulgadas"/>
        <s v="Grifo de cocina monocomando FV B1 Arizona 0411.01/B1  cromo"/>
        <s v="Extractor De Aire Baño Cocina Color Grafito 100mm"/>
        <s v="Bomba periférica periférica monofásica Fluvial Altura Nero 0.5hp color celeste 220V"/>
        <s v="FV B1 Arizona 0411.02/B1 - Cromo - Cromado"/>
        <s v="Bomba Presurizadora Centrifuga Femmto Elevadora Altura Presion 9 Metros Agua  Negro Bp30l-9m  Automatico O Manual 100w 2 Baños"/>
        <s v=" Libercam Grifería RM-400 color plateada y acabado acero pulido"/>
        <s v="Bomba Presurizadora Vasser Pre1 9mts 1-2 Baños Accesorios"/>
        <s v=" Libercam Baño RGRI-07 color plateada y acabado cromado"/>
        <s v="Ducha Cuadrada 20 X 20 Acero Inox. Flor De Baño Griferia !"/>
        <s v="Interruptor Inteligente Wifi 433mhz Domotica Smart Demasled"/>
        <s v="Bomba Presurizadora Agua Termotanque Calefon 2 Baños 30l/min"/>
        <s v="Duchador De Mano Cromado + Soporte + Flexible 1,50 Metros "/>
        <s v="Pintura Latex Interior Casablanca Pro X 20 Lts - Sagitario"/>
        <s v="Bomba Periférica De Agua Elevadora 18 M 1/2 Hp 370w Energy"/>
        <s v="Lija Al Agua Pack X 10 Unidades Grano 60 A 320 Sinteplast Mm"/>
        <s v="Bomba Periférica 1/2 Hp Energy P12/25 18m"/>
        <s v="Timer Mecanico Reloj Programable Sica Enchufable 10a"/>
        <s v="Tarjeta de memoria Kingston SDCS2  Canvas Select Plus con adaptador SD 64GB"/>
        <s v="Xerox Phaser 3020/BI - Blanco/Azul - 220V - 240V"/>
        <s v="Micrófono SF 666 condensador  omnidireccional negro"/>
        <s v="Tarjeta de memoria SanDisk SDSQUNS-064G-GN3MA  Ultra con adaptador SD 64GB"/>
        <s v="Tarjeta de memoria SanDisk SDSQXCY-064G-GN6MA  Extreme Pro con adaptador SD 64GB"/>
        <s v="Tarjeta de memoria SanDisk SDSQXCD-128G-GN6MA  Extreme Pro 128GB"/>
        <s v="Tarjeta de memoria SanDisk SDSQXA2-064G-GN6MN  Extreme 64GB"/>
        <s v="Cámara de video Gadnic Extreme 10 4K MCDEP010 NTSC/PAL gris"/>
        <s v=" Gadnic CK32 CAMKID1X compacta color  rosa "/>
        <s v="Trípode Celular Camara Plegable Aluminio Telescopico 3110"/>
        <s v="Tarjeta de memoria Lexar LSDMI128BB-633A  High-Performance 633x con adaptador SD 128GB"/>
        <s v="Cámara Compacta De Fotos Infantil 12mpx 1080p + Memoria 32gb"/>
        <s v=" Electroland Mini cámara X200 compacta color  rosa "/>
        <s v="Palo Bastón Selfie Control Bluetooth Y Trípode Para Celular"/>
        <s v="Microscopio Lupa Aumento 60x Luz Led Y Uv Billetes Falsos"/>
        <s v="Microscopio  Digital Usb Portatil 1600x Zoom Hd Led Soporte"/>
        <s v="Rollo Film Fujifilm Pack 20 Fotos Instax Mini 11 Oficial"/>
        <s v="Monocular Wildstec 16 X 52 Original Hd Profesional Promocion"/>
        <s v="Tripode Fotografica Iluminacion Camara Plegable 2mts Celular"/>
        <s v="Tripode Fotografia Video Celular Camara Plegable Aluminio "/>
        <s v="Termo Lumilagro Luminox de acero inoxidable 1L acero"/>
        <s v="Suplemento en polvo Star Nutrition  Creatine Monohydrate creatina en pote de 300g"/>
        <s v="Suplemento en polvo Hardcore Nutrition  Creatina sabor frutilla en sachet de 1kg"/>
        <s v="Suplemento en polvo ENA Sport  True Made proteínas sabor vanilla ice cream en pote de 930g"/>
        <s v="Suplemento en polvo ENA Sport Creatina Micronizada 300g sabor neutro en Doypack"/>
        <s v="Suplemento en polvo ENA Sport  True Made proteínas sabor double rich chocolate en pote de 930g"/>
        <s v="Suplemento en polvo ENA Sport  True Made proteínas sabor cookies &amp; cream en pote de 930g"/>
        <s v="TRB Pharma Magnesio Ultraflex Magnesio Polvo - Lata - Naranja - Unidad - 1 - 420 g"/>
        <s v="Linterna Led Tactica Spica X4 Recargable Usb Luz Blanca Color De La Linterna Negro Color De La Luz Blanco"/>
        <s v="Abbott Carbohidratos Ensure Advance Polvo - Lata - Vainilla - Unidad - 1 - 850 g - 850 g"/>
        <s v="Magnesio Natier X50 Capsulas Sin Sabor"/>
        <s v="Suplemento en polvo Star Nutrition  Creatina 100% Pura en pote de 300g"/>
        <s v="Suplemento En Polvo Star Nutrition Whey Protein Proteínas Sabor Chocolate En Bolsa De 908g"/>
        <s v="Zapatilla Deportiva Topper Mamba Full Negra Unisex1"/>
        <s v="Zapatillas Futbol 5 Botines Hombre  Niño Niñas Papi Futbol"/>
        <s v="Medias Térmicas Sox ® Ski / Snowboard Tecnologia In-flex Frio Nieve Original"/>
        <s v="Whey Protein 2 Lb + Creatina 300 Gr Star Nutrition"/>
        <s v="Topper Strong Pace III Hombre Adultos"/>
        <s v="Mesa Picnic Plastica Portable 180cm Playa Pesca Gardenlife"/>
        <s v="Calefactor Electrico Convector Exahome C1009 220v Blanco"/>
        <s v="Balanza Electronica Digital De Cocina A Pilas 1gr Hasta 10 Kg"/>
        <s v="Licuadora Peabody PE-LN601 1.5 L negra con jarra de plástico 220V"/>
        <s v="Balanza Alimentos Cocina Digital Hasta 10 Kg Alta Precision Color Blanco"/>
        <s v="Dispenser De Agua Portatil Usb Bomba Dispensador Bidones"/>
        <s v="Batidora de pie Tedge SM-1521 negra 220 V - 240 V"/>
        <s v="Tostadora Black+decker Tr200 Blanca 220v"/>
        <s v="Mini Licuadora Portatil Autolimpiante Usb 380ml 4 Hojas"/>
        <s v="Moulinex Nescafé Cafetera Dolce Gusto Piccolo XS - Black - 220V"/>
        <s v="Horno de mesa eléctrico BGH BHE17M20 16L negro 220V-240V"/>
        <s v="Nebulizador A Piston Femmto Bc-68001 Silencioso Adulto Y Pediatrico Blanco"/>
        <s v="Philco Pe1821npp Pava Eléctrica C/ Regulador De Temperatura"/>
        <s v="Atma Lm8527ap Licuadora De Mano Mixer Batidora Varilla Metal"/>
        <s v="Atma Gs2200pi Vaporizador De Prendas Plancha Vertical"/>
        <s v="Heladera no frost Philco 94PHSB555XT plateada con freezer 555L 220V"/>
        <s v="Pava Eléctrica Sansei Pe1821bp Selector De Temperatura 1.7l"/>
        <s v="Pava Eléctrica Atma Peatw21wp 1.7lts Línea Nórdica"/>
        <s v="Waflera Sandwichera Atma Disney 2 En 1 Ws027drn"/>
        <s v="Yogurtera Con 7 Vasos Vidrio 160 Ml Yogurt Daewoo Dym-650"/>
        <s v="Auriculares in-ear inalámbricos A6S negro"/>
        <s v="Soporte Electroland SOP 14-55 de pared para TV/Monitor de 14&quot; a 55&quot; negro"/>
        <s v="Shenzhen Yihaotong Technology Genérica Bluetooth F9-5 - Blanco"/>
        <s v="Soporte Tv Led Lcd Plasma 26 30 32 40 42 46 50 55 Color Negro"/>
        <s v="Soporte Para Tv Libercam Lc-03 Smart Movil Brazo Articulado 14 A 55 Pulgada Negro"/>
        <s v="Pila AA Energizer MAX E91 Cilíndrica - pack de 20 unidades"/>
        <s v="Soporte TV/Monitor Force L40-222 - Negro"/>
        <s v="Chromecast Google Tv Hd 8gb 2gb RAM 60 Fps Wifi Bluetooth Hdmi 4ta Gen Blanco"/>
        <s v="Auriculares in-ear inalámbricos Bluetooth F9-5 rosa"/>
        <s v="Auriculares F95  In-ear Inalámbricos Alpina Powerbank "/>
        <s v="Smart Tv 32¨ Philips Android Hd 32phd6917/77 + Bluetooth"/>
        <s v="Auriculares Inalámbricos Noblex Hp350bt Bluetooth 5.0"/>
        <s v="Auriculares Bluetooth M10 Pro Superior F9-5 Carga Celu"/>
        <s v="Auricular Inalambrico Tws F9-5 Plus Fanpro Gamer Modelo 2023"/>
        <s v="Amoladora Angular Black+Decker G720n Naranja 820 W 220 V"/>
        <s v="Amoladora angular Skil Esmerilhareida Angular F0129002AL de 50 Hz/60 Hz color negro 700 W 220 V + accesorio"/>
        <s v="Amoladora angular Philco AA711 color verde 710 W 220 V + accesorio"/>
        <s v="Sierra circular eléctrica Skil 5402 184mm 1400W negra y roja 50Hz/60Hz 220V"/>
        <s v="Sierra circular eléctrica Skil 5200 184mm 1200W negra y roja 50Hz/60Hz 220V"/>
        <s v="Taladro percutor atornillador eléctrico de 13mm Gamma G1904K 710W + accesorios con maletín de transporte 220V 50Hz"/>
        <s v="Philco Sk353 - 220V"/>
        <s v="Engrapadora Clavadora Profesional 3 En 1 Hamilton Pepkit C/ Maletin"/>
        <s v="Taladro percutor atornillador eléctrico de 10mm Gamma G1905K 650W + accesorios con maletín de transporte 220V 50Hz"/>
        <s v="Hidrolavadora eléctrica Silverfox SMJPHI117 naranja y negra de 1400W con 105bar de presión máxima 220V - 50Hz"/>
        <s v="Taladro percutor eléctrico de 10mm Gamma G1905 650W + accesorio 220V 60Hz"/>
        <s v="Hidrolavadora eléctrica Gamma Máquinas 100 Blue Line G2508AR turquesa de 1200W con 90bar de presión máxima 220V"/>
        <s v="Taladro Atornillador Percutor + 2 Baterias Gp By Lusqtoff"/>
        <s v="Set Juego De Tubos Llaves Criquet Y Puntas 46 Piezas"/>
        <s v="Taladro Atornillador Percutor Lusqtoff Lta750 750w 3000rpm"/>
        <s v="Discos De Corte Abrasivos 115mm X 1mm Lata X50 U. Hamilton"/>
        <s v="Pistola De Calor Profesional 2 Temp 2000w 2 Boquillas"/>
        <s v="Medidor De Ph Agua Peachimetro Digital Phmetro Acuario"/>
        <s v="Rotomartillo Taladro Percutor 800w Sds Plus 24mm 2.5 J + Acc"/>
        <s v="Papel higiénico Higienol MAX simple 80 m pack de 4"/>
        <s v="Grifo de cocina monocomando Libercam Rm 300  plateado acabado cromado"/>
        <s v="Cámara de seguridad Gadnic P2P00009 SX9 con resolución de 2MP visión nocturna incluida blanca "/>
        <s v="Jabón Líquido Para Diluir Skip Bio-enzimas Tecnologia Superior En Limpieza Y Cuidado 500 Ml"/>
        <s v="Silla de escritorio Baires4 Ejecutiva mesh  negra con tapizado de mesh y cuero sintético"/>
        <s v="Tira Luces Led 5050 Rgb, Kit Completo,control Y Fuente"/>
        <s v="Juego De Cortinas Blackout Textil Presillas Ocultas Oferta!"/>
        <s v="Reflector Led 100w Exterior Alta Potencia 96 Led Ip65 Frio Color de la carcasa Negro Color de la luz Blanco frío"/>
        <s v="Silla de escritorio DeSillas Darwin ergonómica  negra con tapizado de mesh"/>
        <s v="Lámpara Luz Inteligente Smart Multicolor Alexa Google Home"/>
        <s v="Cortina De Ambiente 2,30 Ancho X 1,90 Largo Microfibra"/>
        <s v="Sommier Simmons BackCare Hotel Bilt 2 plazas de 190cmx140cm  negro y blanco"/>
        <s v="Balde Mopa Centrifugo Lampazo Escurridor Trapeador En Gratis"/>
        <s v="Kit Tira Luz Led Rgb 3m Tv Pc Control Remoto Exterior Tuning"/>
        <s v="Tender Con Alas Plegable Tendedero Ropa Exahome "/>
        <s v="Trapeador Mopa Rociador Spray 400ml Lusqtoff Msl400-8"/>
        <s v="Griferia De Cocina Canilla Monocomando Lavatorio Cuello Goma"/>
        <s v="Astronauta Proyector Galaxia Estrellas Lampara Luz "/>
        <s v="Hasar L-HAS-9010 - 3V - 5V - Negro - USB (Incluye: Incluye soporte)"/>
        <s v="Pantalon Pampero Cargo De Trabajo Reforzado"/>
        <s v="Aspiradora Atma AS9121PI 2000W 2 L - Morado/Plateado - 220V"/>
        <s v="100 Pulseras Tyvek Lisas Sin Impresion"/>
        <s v="Cinta De Embalar Transparente 48x100 Autoadhesiva Pack X36u"/>
        <s v="Rollos Gofrados  Envasadora Turbosaver 2 U 22cmx5mts En Pack"/>
        <s v="Kit Oficial Para Código Qr De Mercado Pago"/>
        <s v="Contadora De Billetes Máquina Cuenta Dinero Detector Falsos"/>
        <s v="Pantalón Pampero Cargo Ripstop Antidesgarro - Uso Intensivo"/>
        <s v="Botines De Seguridad 249 Ice Pampero Con Puntera De Acero"/>
        <s v="Zapato Seguridad Grafa 70 Con Puntera De Acero Botín Calzado"/>
        <s v="Vinilo Termotransferible Textil Duracal 1.00x0.50  (polgraf)"/>
        <s v="Mercado Pago Point Smart Chip 4gb Celular + Impresora Posnet"/>
        <s v="Mini Balanza Portatil Pocket Scale Digital 0.1 A 200gramos"/>
        <s v="Rollo De Plastico Con Burbuja Pluribol De 50 Cm X 50 Mts"/>
        <s v="Argolla Sin Fin + Cadena X 100 Unidades Art 4110"/>
        <s v="Contadora De Billetes Maquina Contar Daewoo Pesos Dólares  "/>
        <s v="Cinta De Embalaje Transparente48x100 Autoadhesiva Pack X 6u "/>
        <s v="Perchero Movil Doble Barral Metalico Exhibidor 150x110 !!"/>
        <s v="Encordado Ernie Ball 010 Guitarra Eléctrica 2221 Slinky Cuer"/>
        <s v="Soporte Para Micrófono Brazo Estudio Condenser Profesional"/>
        <s v="Micrófonos SKP Pro Audio UHF-300D dinámico, de mano  cardiode negros"/>
        <s v="Cable Canon Canon Xlr /xlr  Ross - 6 Metros"/>
        <s v="Ukelele De Madera Soprano Con Funda Manual Y Lecciones"/>
        <s v="Cable Ross Plug Plug 6 Metros Cp-pp-6m Guitarra"/>
        <s v="Shure SV200-W - Negro"/>
        <s v="Teclado Organo Electronico Musical Instrumento 54 Teclas Color Gris"/>
        <s v="Encordado Cuerdas Guitarra Criolla Clásica Magma  "/>
        <s v="Ukelele Soprano Alabama Uks-10 Colores Con Funda  - Oddity"/>
        <s v="Guitarra Electrocriolla C/ Corte Acustica Funda Pua Colores"/>
        <s v="Palillos Batería Baquetas Sambys Std 5a 5b Punta Madera"/>
        <s v="Controlador Midi Usb Arturia Minilab 3 "/>
        <s v="Teclado Organo 5 Octavas Adultos Niños Musical Piano Teclas"/>
        <s v="Funda Para Guitarra Criolla Clasica Acolchada Impermeable"/>
        <s v="Atril Partitura Plegable Con Funda."/>
        <s v="Soporte Pared Guitarra Electrica Criolla Bajo C/ Tarugo 10mm"/>
        <s v="Cuerdas Guitarra Criolla Campana Encordado Nylon Plata"/>
        <s v="Capotraste Capodastro Transporte Resistente Excelente Calidad Ideal Para Ukelele Y Todo Tipo De Guitarras"/>
        <s v="Reloj pulsera Casio Vintage A-158 de cuerpo color plateado, digital, fondo gris, con correa de acero inoxidable color plateado, dial negro, minutero/segundero negro, bisel color plateado, luz verde y "/>
        <s v="Smartwatch Amazfit Bands Band 5 Sport 1.1&quot; caja 47.2mm de  policarbonato  negra, malla  midnight black de  tpu y bisel  negro de  plástico A2005"/>
        <s v="Reloj De Pared Moderno Minimalista Grande Clásico Quartz "/>
        <s v="Reloj Despertador Luz Led Rgb Pantalla Alarma Temperatura"/>
        <s v="Aros Hombre Aritos Piercing Argollas Acero Quirúrgico Dorado"/>
        <s v="Reloj Pulsera Táctil Digital Led Silicona Para Niños Y Niñas"/>
        <s v="Skmei 1068 Hombre (Cód: 18444793)"/>
        <s v="Reloj Vintage Digital Luz Alarma Malla Acero Estuche Garant."/>
        <s v="Reloj pulsera Gadnic Apolo de cuerpo color negro, digital, fondo negro, con correa de goma color negro, dial gris, minutero/segundero gris, bisel color negro, luz verde y hebilla simple"/>
        <s v="Reloj Pulsera Led Digital Para Nene Nena Band Infantil"/>
        <s v="Malla Para Apple Watch  38 40 Mm Serie 1 2 3 4 5 6 "/>
        <s v="Collar Yin Yang Gatitos Perro Para Compartir Parejas Amistad"/>
        <s v="Malla Xiaomi Mi Band 3 4 5 6 Y 7 Nylon Correa Deportiva"/>
        <s v=" Malla Correa Para Apple Watch  42 44 Mm Serie 1 2 3 4 5 6"/>
        <s v="Reloj Led Touch Unisex Malla Silicona Autoajustable Garantía"/>
        <s v="Collar Cielo Nubes Brilla En La Oscuridad + Estuche Regalo"/>
        <s v="Colgante Yo Te Cielo"/>
        <s v="Reloj Despertador Digital Alarma Temperatura Luz Lcd Fecha"/>
        <s v="Tira Fimo Fimu Multicolor Separador Plano 6mm Bijou Collares"/>
        <s v="Malla Reemplazo Correa Para Samsung Fit 2 Pulsera Silicona"/>
        <s v="Juego de mesa Monky loco Ditoys 071"/>
        <s v="Ditoys Doggy attack 2149"/>
        <s v="Juego de mesa Rummy &amp; Burako Clásico Ruibal 1056"/>
        <s v="Juego de mesa Croky attack Ditoys 2150"/>
        <s v="Juego de mesa Monopoly Clásico Hasbro C1009"/>
        <s v="Juego de cartas Desconectados En Palabras"/>
        <s v="Juego de cartas Dables"/>
        <s v="Valija De Juguete Juliana Veterinaria Grande 2 Mascotas"/>
        <s v="Valija De Juguete Juliana Doctora 18 Accesorios"/>
        <s v="Juliana Valija Doctora Grande Luz Y Sonido Do13 Tv"/>
        <s v="Juliana Veterinaria Valija Chica Con Mascota Nenas Tv Edu Fu"/>
        <s v="Cubo Rubik 3x3 Moyu Meilong 3x3x3 De Velocidad"/>
        <s v="Monopatín Aluminio Plegable 2 Ruedas Con Luces"/>
        <s v="Pizarra Magica Tableta Lcd Escritura Digital Ewrite Ohmyshop"/>
        <s v="Set De Cocina Y Accesorios Piccola Rondi"/>
        <s v="Cocinita De Juguete Cocina De Madera Infantil Juego Chicos"/>
        <s v="Peluche Charizard 22cm Pokemon Varios Modelos Anime Pikachu"/>
        <s v="Este dolor no es mío: Identifica y resuelve los traumas familiares heredados, de Mark Wolynn."/>
        <s v="Libro Hábitos Atómicos - James Clear"/>
        <s v=" Libro Piense Y Hagase Rico Napoleon Hill Ultima Edición !!!"/>
        <s v="Libro Basta De Amores De Mierda - El Pela Gonzalo Romero"/>
        <s v="Libro Un Cuento Perfecto - Elísabet Benavent"/>
        <s v="Libro Hábitos Atómicos - James Clear - Booket"/>
        <s v="Código Civil Y Comercial De La Nacion 2023 Universitario"/>
        <s v="Camino Del Artista - Julia Cameron - Aguilar"/>
        <s v="La Revolución De La Glucosa De Jessie Inchauspé - Diana"/>
        <s v="Libro Adiós Cachorra - Lucía Numer - Planeta"/>
        <s v="Libro El Duelo - Gabriel Rolón - Booket"/>
        <s v="Código Penal + Procesal Penal De La Nación Y Federal - Univ"/>
        <s v="Si Lo Crees, Lo Creas: Elimina Tus Dudas, Cambia Tus Creenci"/>
        <s v="Berserk - Elige Tu Tomo - Panini"/>
        <s v="Dolarizacion, De Ocampo, Emilio., Vol. Único. Editorial Claridad, Tapa Blanda En Español, 2022"/>
        <s v="Biblia Reina Valera 1960 Letra Gigante Cierre Pjr Conc Negro"/>
        <s v="Pack Basta De Amores De Mierda 1 2 3 4 Y 5 - Pela G. Romero"/>
        <s v="Encuentra Tu Persona + Como Hacer Que Te Pasen Cosas Buenas "/>
        <s v="Libro Simple Y Consciente - Silvina Luna - Vergara"/>
        <s v="El Método Silva De Control Mental - José Silva, Philip Miele"/>
        <s v="Taylor Swift Reputation Cd"/>
        <s v="Vinilo - Clics Modernos - Charly Garcia"/>
        <s v="Lali Espósito Lali Sony Music - Físico - CD - 2023"/>
        <s v="Charly Garcia Piano Bar Vinilo Lp Reedicion 2020"/>
        <s v="Taylor Swift - Midnights Lavender (cd Deluxe) Universal"/>
        <s v="Stray Kids 5 Star Cd + Libro Nuevo Importado"/>
        <s v="Bolsas Fundas Externas Para Discos De Vinilo X 50 Unidades "/>
        <s v="Taylor Swift Folklore Cd + Bonus Nuevo Original Cerrado"/>
        <s v="Twice Between 1 &amp; 2 Cd + Libro Nuevo Importado"/>
        <s v="Twice Formula Of Love Cd + Libro Nuevo Importado"/>
        <s v="Vinilo Charly Garcia Parte De La Religion Sellado"/>
        <s v="Taylor Swift Evermore Cd 2020 Nuevo Original Cerrado "/>
        <s v="Vinilo Soda Stereo Cancion Animal Lp Nuevo Remast.2015"/>
        <s v="Vinilo Cerati Gustavo Amor Amarillo 2 Lp Nuevo"/>
        <s v="Olivia Rodrigo Sour Deluxe Cd 2021 + Poster"/>
        <s v="Gustavo Cerati 14 Episodios Siónicos Vinilo Doble"/>
        <s v="Vinilos De Coleccion La Nacion Lp + Libro  - Ver Variantes"/>
        <s v="Newjeans Get Up Bunny Beach Version Cd + Libro + Bolso Impor"/>
        <s v="Newjeans Get Up Powerpuff Girls Nj Box Ver Cd + Libro Nuevo "/>
        <s v="Queen Vinilos De Coleccion 3lp N° 19 Live At Wembley Stadium"/>
        <s v="Gel Intimo Prime Touch X 200ml | Lubricante Y Masajes 2 En 1 Sabor Sin Sabor"/>
        <s v="Gel Intimo Anal Efecto Relajante Lubricante Lube Sex"/>
        <s v="Lubricante Intimo Neutro Fly Night 200 Ml"/>
        <s v="Gel Lubricante Intimo Neutro Miss V Hipoalergenico Todo Tipo Sabor Sin Sabor"/>
        <s v="Lubricante gel crema intimo Fly Night Vanal 200mL"/>
        <s v="Lubricante Sextual 200 Ml Geles Intimos "/>
        <s v="Sahumerios Triple Empastes X Bolsa De 50 Sahum.."/>
        <s v="Sahumerios Conos Cascadas, 1 Pack X 100 Unidades"/>
        <s v="Gel Intimo Anal Efecto Calor Lubricante Lube Sex"/>
        <s v="Gel intimo lubricante Diabolico anal extremadamente deslizante Fly Night 500g"/>
        <s v="Sahumerios Satya Nag Champa - 12 Unidades"/>
        <s v="Sahumerios 40 Tibetanos Aromanza India 5 Aromas Diferentes"/>
        <s v="Lubricante gel crema anal Sexitive the wild boys con calendula 200g"/>
        <s v="Pigmento Extreme P/tatuar 1oz - Tinta Para Tattoo Tatuajes"/>
        <s v="Crema Tattoo Sin Dolor La Más Buscada !"/>
        <s v="Cartas Mazo Tarot Rider Waite + Guía "/>
        <s v="Sahumerios Sagrada Madre Combo Mix Linea Completa X18 Anaand"/>
        <s v="Línea Completa Sahumerios Sagrada Madre 12 Aromas"/>
        <s v="Sahumerios Extra Fuerte Aromanza Slim Pack X6 Unidades"/>
        <s v="Tktx Crema Negro Original"/>
        <s v="Remera Lisa Algodón Jersey Peinado Premium"/>
        <s v="Ambo Medico De Mujer Entallado Promoción! - Presente! "/>
        <s v="Zapatillas Elastizadas Super Livianas Fabricante Directo"/>
        <s v="Remera Lisa Algodon 100 % Varios Colores Unisex Fabricantes!"/>
        <s v="Pantalones Hombre Cargo Bolsillos Casuales Jogger Alpina"/>
        <s v="Pack X 5 Remera Basica Hombre Manga Corta Lisa 100% Algodon"/>
        <s v="Crocs Originales Crocband Unisex Hombre Mujer - Local Olivos"/>
        <s v="Zapatillas De Mujer Livianas Comodas Moda Nadin"/>
        <s v="Zapato Hombre De Vestir Mocasin Nautico Urbano Zapatilla "/>
        <s v="Pantalon Jogger Cargo Hombre Gabardina Elastizada Bolsillos"/>
        <s v="Zapatillas Moda Mujer Urbana Plataforma  "/>
        <s v="Botas Ozono Trekking"/>
        <s v="Zapatillas Blancas Hombre Mujer Urbana Anatomica Irak Comoda"/>
        <s v="Musculosa Capucha Entrenamiento Sudadera Gym Gdo Workout"/>
        <s v="Boxer Zorba Art.130, Algodón - Pack X12 U - Directo Fabrica"/>
        <s v="Boxer  Didar Art 128, Algodón-pack X12 U- Directo Fábrica"/>
        <s v="Zapatillas Mujer Base Comoda Liviana Diseño Love"/>
        <s v="Zapatilla Hombre Urbana Livanas Art. 1073"/>
        <s v="Pantalones Cargo Hombre Gabardina Bolsillos Jogger Jogging"/>
        <s v="TRB Pharma Colágeno Ultraflex Polvo - Pote - Limón - Pack - 2 - 300 g"/>
        <s v="Balanza digital Femmto B01 negra, hasta 180 kg"/>
        <s v="Tensiometro Digital De Brazo Femmto Yk-bpa3 Medidor De Presion  Blanco"/>
        <s v="Suplemento Dietario Ensure Polvo Vainilla x1200gr"/>
        <s v="Suplemento en polvo Vitalis Navitas  Colágeno Hidrolizado sabor limón en pote de 360g"/>
        <s v="Natural Whey Suplementos Magnesio Citrato de Magnesio Polvo - Sachet - Unidad - 1 - 1 kg"/>
        <s v="Tensiómetro Digital Brazo Bluetooth Batería Automático Femmto Medidor De Presión Arterial YK-BPA4 USB"/>
        <s v="Balanza Corporal Para Personas Femmto B04 Bluetooth Digital Negro"/>
        <s v="Tensiometro Manual Aneroide Con Estetoscopio Enfermería Kit "/>
        <s v="Caja Guantes Nitrilo Negro Reforzado Con Anmat X 100 "/>
        <s v="3 Proteina Whey Protein 100% (1080 Gr C/u) Spx +vaso Shaker "/>
        <s v="Whey Protein 2 Kg + Creatina Spx 300 Gr Saborizada"/>
        <s v="Set 14 Globos Metalizados Estrella Transparente Confetti"/>
        <s v="Golosinas Para Piñata X 100 U - Lollipop"/>
        <s v="Combo Cotillon Luminoso Led Neon 100 Personas + Labial Fluo"/>
        <s v="Pulseras Luminosas Quimicas Neon Fiesta Cotillon Rompecocos"/>
        <s v="Globos Perlados 12 Pulgadas X25 Unidades Cotillon Cumpleaños"/>
        <s v="Cortina Metalizada Varios Colores 1x2 Mt Cotillon"/>
        <s v="Bengala De Humo X1 - Cienfuegos"/>
        <s v="Set De 14 Globos Metalizados Estrella Corazon Confetti Latex"/>
        <s v="Cortinas Metalizadas Decoración 1 Metro X 2 Metros"/>
        <s v="25 Globo Latex Liso Cotillon Candy Bar Cumpleaños Decoracion"/>
        <s v="Banderines X 20 Mt Tela Friselina De 80 Gr Elegí Tus Colores"/>
        <s v="Disfraz Hombre Araña Con Mascara Spiderman Manga Larga"/>
        <s v="Inflador De Globos Electrico Black Doble Salida 600w"/>
        <s v="Combo De Globos Cumpleaños Súper Completo Decoración Números"/>
        <s v="Combo Cotillon Carioca Fluor 115 Articulos 50 Personas"/>
        <s v="Laminas Comestibles Fototorta Impresiones Personalizadas A4"/>
        <s v="30 Burbujeros Molino Souvenir Piñata Sorpresa "/>
        <s v="Base Soporte Con 7 Varillas Porta Globo Mesa Cotillón Cumple"/>
        <s v="Kit Cumple + Candy Imprimible Editable Unificado"/>
        <s v="Video Invitación Animada (con Foto Opcional) Tarjeta Virtual"/>
      </sharedItems>
    </cacheField>
    <cacheField name="price" numFmtId="0">
      <sharedItems containsSemiMixedTypes="0" containsString="0" containsNumber="1" containsInteger="1" minValue="1990" maxValue="9241059" count="468">
        <n v="1329867"/>
        <n v="553860"/>
        <n v="352000"/>
        <n v="22160"/>
        <n v="41990"/>
        <n v="156200"/>
        <n v="134900"/>
        <n v="199990"/>
        <n v="146890"/>
        <n v="227890"/>
        <n v="26300"/>
        <n v="176230"/>
        <n v="94990"/>
        <n v="379990"/>
        <n v="129990"/>
        <n v="35910"/>
        <n v="149990"/>
        <n v="99990"/>
        <n v="54900"/>
        <n v="553350"/>
        <n v="1282990"/>
        <n v="595000"/>
        <n v="245540"/>
        <n v="1410000"/>
        <n v="480810"/>
        <n v="556736"/>
        <n v="4349913"/>
        <n v="325000"/>
        <n v="159990"/>
        <n v="693405"/>
        <n v="51990"/>
        <n v="76380"/>
        <n v="8228175"/>
        <n v="159900"/>
        <n v="349990"/>
        <n v="324000"/>
        <n v="209900"/>
        <n v="210000"/>
        <n v="22720"/>
        <n v="23490"/>
        <n v="18790"/>
        <n v="4680"/>
        <n v="49488"/>
        <n v="12230"/>
        <n v="8900"/>
        <n v="6000"/>
        <n v="38250"/>
        <n v="23188"/>
        <n v="64935"/>
        <n v="39580"/>
        <n v="652746"/>
        <n v="47740"/>
        <n v="96332"/>
        <n v="31500"/>
        <n v="174990"/>
        <n v="168750"/>
        <n v="185000"/>
        <n v="260700"/>
        <n v="79180"/>
        <n v="135450"/>
        <n v="323910"/>
        <n v="199350"/>
        <n v="209250"/>
        <n v="234100"/>
        <n v="274810"/>
        <n v="269900"/>
        <n v="177220"/>
        <n v="299000"/>
        <n v="1478664"/>
        <n v="153500"/>
        <n v="167000"/>
        <n v="396860"/>
        <n v="196980"/>
        <n v="41600"/>
        <n v="739116"/>
        <n v="22990"/>
        <n v="4445520"/>
        <n v="204990"/>
        <n v="181220"/>
        <n v="19990"/>
        <n v="485990"/>
        <n v="182735"/>
        <n v="26100"/>
        <n v="25330"/>
        <n v="286390"/>
        <n v="66000"/>
        <n v="13100"/>
        <n v="157900"/>
        <n v="814177"/>
        <n v="83630"/>
        <n v="161730"/>
        <n v="18561"/>
        <n v="39900"/>
        <n v="29900"/>
        <n v="27930"/>
        <n v="27800"/>
        <n v="28440"/>
        <n v="289990"/>
        <n v="705000"/>
        <n v="214000"/>
        <n v="16000"/>
        <n v="298000"/>
        <n v="34990"/>
        <n v="318990"/>
        <n v="159271"/>
        <n v="17320"/>
        <n v="77500"/>
        <n v="44000"/>
        <n v="179991"/>
        <n v="12990"/>
        <n v="55000"/>
        <n v="42000"/>
        <n v="59990"/>
        <n v="67290"/>
        <n v="212415"/>
        <n v="4579"/>
        <n v="129330"/>
        <n v="125000"/>
        <n v="50250"/>
        <n v="184800"/>
        <n v="9860"/>
        <n v="70100"/>
        <n v="157500"/>
        <n v="89990"/>
        <n v="163500"/>
        <n v="65365"/>
        <n v="94500"/>
        <n v="207990"/>
        <n v="79250"/>
        <n v="58270"/>
        <n v="32690"/>
        <n v="106250"/>
        <n v="194447"/>
        <n v="203900"/>
        <n v="138150"/>
        <n v="194990"/>
        <n v="92130"/>
        <n v="187509"/>
        <n v="134010"/>
        <n v="17580"/>
        <n v="51000"/>
        <n v="83990"/>
        <n v="50900"/>
        <n v="92390"/>
        <n v="130480"/>
        <n v="98875"/>
        <n v="156400"/>
        <n v="127990"/>
        <n v="142430"/>
        <n v="3010455"/>
        <n v="89550"/>
        <n v="78200"/>
        <n v="969990"/>
        <n v="679990"/>
        <n v="979990"/>
        <n v="1229990"/>
        <n v="133990"/>
        <n v="1329990"/>
        <n v="1749990"/>
        <n v="849990"/>
        <n v="1069990"/>
        <n v="196010"/>
        <n v="1099990"/>
        <n v="34930"/>
        <n v="230490"/>
        <n v="161840"/>
        <n v="899990"/>
        <n v="35230"/>
        <n v="229990"/>
        <n v="368600"/>
        <n v="58990"/>
        <n v="191990"/>
        <n v="35820"/>
        <n v="364430"/>
        <n v="52170"/>
        <n v="2322998"/>
        <n v="158090"/>
        <n v="117000"/>
        <n v="116750"/>
        <n v="56100"/>
        <n v="47600"/>
        <n v="69990"/>
        <n v="9200"/>
        <n v="80000"/>
        <n v="9950"/>
        <n v="84570"/>
        <n v="85030"/>
        <n v="295200"/>
        <n v="635590"/>
        <n v="690000"/>
        <n v="99840"/>
        <n v="639990"/>
        <n v="231800"/>
        <n v="79990"/>
        <n v="159000"/>
        <n v="175087"/>
        <n v="208000"/>
        <n v="23180"/>
        <n v="169990"/>
        <n v="2999289"/>
        <n v="131990"/>
        <n v="235000"/>
        <n v="997405"/>
        <n v="220000"/>
        <n v="322250"/>
        <n v="3597793"/>
        <n v="27300"/>
        <n v="593384"/>
        <n v="417000"/>
        <n v="31491"/>
        <n v="254000"/>
        <n v="182220"/>
        <n v="14140"/>
        <n v="179900"/>
        <n v="48450"/>
        <n v="386499"/>
        <n v="38710"/>
        <n v="48500"/>
        <n v="154260"/>
        <n v="249990"/>
        <n v="113880"/>
        <n v="480990"/>
        <n v="163990"/>
        <n v="992405"/>
        <n v="146990"/>
        <n v="119990"/>
        <n v="64505"/>
        <n v="25990"/>
        <n v="170290"/>
        <n v="1699915"/>
        <n v="77990"/>
        <n v="47432"/>
        <n v="446537"/>
        <n v="190000"/>
        <n v="163650"/>
        <n v="57000"/>
        <n v="116800"/>
        <n v="165000"/>
        <n v="116860"/>
        <n v="95110"/>
        <n v="1280287"/>
        <n v="54000"/>
        <n v="163640"/>
        <n v="99900"/>
        <n v="62000"/>
        <n v="32950"/>
        <n v="2703812"/>
        <n v="189900"/>
        <n v="419930"/>
        <n v="143910"/>
        <n v="35240"/>
        <n v="194900"/>
        <n v="37990"/>
        <n v="38990"/>
        <n v="764810"/>
        <n v="175000"/>
        <n v="64990"/>
        <n v="682500"/>
        <n v="399990"/>
        <n v="208990"/>
        <n v="203990"/>
        <n v="279990"/>
        <n v="6499990"/>
        <n v="143990"/>
        <n v="243990"/>
        <n v="294990"/>
        <n v="212690"/>
        <n v="33990"/>
        <n v="59992"/>
        <n v="36110"/>
        <n v="36990"/>
        <n v="68500"/>
        <n v="56990"/>
        <n v="86990"/>
        <n v="399900"/>
        <n v="34000"/>
        <n v="69900"/>
        <n v="1079990"/>
        <n v="168360"/>
        <n v="48910"/>
        <n v="36850"/>
        <n v="231900"/>
        <n v="172490"/>
        <n v="365005"/>
        <n v="359990"/>
        <n v="299900"/>
        <n v="166990"/>
        <n v="123870"/>
        <n v="265990"/>
        <n v="147700"/>
        <n v="365000"/>
        <n v="369960"/>
        <n v="267000"/>
        <n v="988672"/>
        <n v="277550"/>
        <n v="14960"/>
        <n v="80990"/>
        <n v="299990"/>
        <n v="19420"/>
        <n v="393000"/>
        <n v="597908"/>
        <n v="157990"/>
        <n v="53990"/>
        <n v="390640"/>
        <n v="36800"/>
        <n v="379905"/>
        <n v="2019884"/>
        <n v="89900"/>
        <n v="386914"/>
        <n v="79806"/>
        <n v="127370"/>
        <n v="2392391"/>
        <n v="269000"/>
        <n v="2089905"/>
        <n v="254120"/>
        <n v="55490"/>
        <n v="1990"/>
        <n v="649990"/>
        <n v="259000"/>
        <n v="217644"/>
        <n v="229000"/>
        <n v="41000"/>
        <n v="84990"/>
        <n v="29990"/>
        <n v="38630"/>
        <n v="49990"/>
        <n v="527750"/>
        <n v="43380"/>
        <n v="2474925"/>
        <n v="679685"/>
        <n v="749999"/>
        <n v="724000"/>
        <n v="64600"/>
        <n v="159790"/>
        <n v="41710"/>
        <n v="250660"/>
        <n v="529990"/>
        <n v="382097"/>
        <n v="1911077"/>
        <n v="341990"/>
        <n v="9241059"/>
        <n v="859990"/>
        <n v="115080"/>
        <n v="76900"/>
        <n v="12160"/>
        <n v="513176"/>
        <n v="3587672"/>
        <n v="2069885"/>
        <n v="54990"/>
        <n v="26990"/>
        <n v="9405"/>
        <n v="66990"/>
        <n v="295036"/>
        <n v="36556"/>
        <n v="249999"/>
        <n v="32990"/>
        <n v="23575"/>
        <n v="40593"/>
        <n v="59900"/>
        <n v="513658"/>
        <n v="9320"/>
        <n v="200123"/>
        <n v="74490"/>
        <n v="60030"/>
        <n v="98990"/>
        <n v="57950"/>
        <n v="201800"/>
        <n v="79170"/>
        <n v="49300"/>
        <n v="81700"/>
        <n v="51920"/>
        <n v="28700"/>
        <n v="79900"/>
        <n v="41300"/>
        <n v="138000"/>
        <n v="88000"/>
        <n v="64980"/>
        <n v="32200"/>
        <n v="162000"/>
        <n v="32300"/>
        <n v="105000"/>
        <n v="132050"/>
        <n v="74700"/>
        <n v="67500"/>
        <n v="43700"/>
        <n v="40000"/>
        <n v="25000"/>
        <n v="119000"/>
        <n v="136080"/>
        <n v="199000"/>
        <n v="196990"/>
        <n v="61000"/>
        <n v="187990"/>
        <n v="2195459"/>
        <n v="42900"/>
        <n v="349900"/>
        <n v="30000"/>
        <n v="43900"/>
        <n v="359900"/>
        <n v="183990"/>
        <n v="37900"/>
        <n v="206990"/>
        <n v="379900"/>
        <n v="199900"/>
        <n v="33000"/>
        <n v="19700"/>
        <n v="23990"/>
        <n v="12980"/>
        <n v="23940"/>
        <n v="17592"/>
        <n v="20800"/>
        <n v="307808"/>
        <n v="191968"/>
        <n v="44737"/>
        <n v="668395"/>
        <n v="33475"/>
        <n v="26000"/>
        <n v="20000"/>
        <n v="474136"/>
        <n v="1176741"/>
        <n v="89082"/>
        <n v="282295"/>
        <n v="57200"/>
        <n v="44900"/>
        <n v="87000"/>
        <n v="596329"/>
        <n v="31880"/>
        <n v="77380"/>
        <n v="119900"/>
        <n v="149900"/>
        <n v="1287503"/>
        <n v="79050"/>
        <n v="826413"/>
        <n v="166455"/>
        <n v="1286934"/>
        <n v="139000"/>
        <n v="136000"/>
        <n v="1407079"/>
        <n v="86490"/>
        <n v="177120"/>
        <n v="70290"/>
        <n v="197590"/>
        <n v="155900"/>
        <n v="1220472"/>
        <n v="209990"/>
        <n v="144990"/>
        <n v="48900"/>
        <n v="153000"/>
        <n v="152400"/>
        <n v="18500"/>
        <n v="15900"/>
        <n v="307990"/>
        <n v="23500"/>
        <n v="16500"/>
        <n v="15000"/>
        <n v="17500"/>
        <n v="9900"/>
        <n v="18100"/>
        <n v="409948"/>
        <n v="632335"/>
        <n v="148000"/>
        <n v="49900"/>
        <n v="59980"/>
        <n v="79999"/>
        <n v="57490"/>
        <n v="13400"/>
        <n v="8500"/>
        <n v="19000"/>
      </sharedItems>
      <fieldGroup base="3">
        <rangePr startNum="1990" endNum="9241059" groupInterval="1000000"/>
        <groupItems count="12">
          <s v="&lt;1990"/>
          <s v="1990-1001989"/>
          <s v="1001990-2001989"/>
          <s v="2001990-3001989"/>
          <s v="3001990-4001989"/>
          <s v="4001990-5001989"/>
          <s v="5001990-6001989"/>
          <s v="6001990-7001989"/>
          <s v="7001990-8001989"/>
          <s v="8001990-9001989"/>
          <s v="9001990-10001989"/>
          <s v="&gt;10001990"/>
        </groupItems>
      </fieldGroup>
    </cacheField>
    <cacheField name="date_created" numFmtId="14">
      <sharedItems containsSemiMixedTypes="0" containsNonDate="0" containsDate="1" containsString="0" minDate="2015-08-03T13:17:35" maxDate="2023-08-06T19:03:19"/>
    </cacheField>
    <cacheField name="creation_time" numFmtId="22">
      <sharedItems count="363">
        <s v="11:11"/>
        <s v="16:54"/>
        <s v="14:18"/>
        <s v="10:50"/>
        <s v="18:13"/>
        <s v="17:57"/>
        <s v="16:34"/>
        <s v="10:10"/>
        <s v="12:26"/>
        <s v="12:09"/>
        <s v="10:52"/>
        <s v="19:14"/>
        <s v="18:50"/>
        <s v="20:14"/>
        <s v="22:46"/>
        <s v="19:18"/>
        <s v="14:52"/>
        <s v="17:46"/>
        <s v="10:29"/>
        <s v="12:06"/>
        <s v="12:02"/>
        <s v="19:00"/>
        <s v="12:29"/>
        <s v="14:29"/>
        <s v="16:51"/>
        <s v="15:40"/>
        <s v="08:36"/>
        <s v="11:06"/>
        <s v="18:01"/>
        <s v="10:00"/>
        <s v="14:19"/>
        <s v="11:46"/>
        <s v="09:08"/>
        <s v="09:39"/>
        <s v="17:18"/>
        <s v="15:26"/>
        <s v="11:59"/>
        <s v="20:04"/>
        <s v="15:38"/>
        <s v="20:32"/>
        <s v="13:30"/>
        <s v="15:37"/>
        <s v="14:44"/>
        <s v="18:12"/>
        <s v="19:04"/>
        <s v="08:07"/>
        <s v="20:39"/>
        <s v="18:39"/>
        <s v="20:02"/>
        <s v="14:17"/>
        <s v="14:14"/>
        <s v="11:36"/>
        <s v="11:13"/>
        <s v="17:17"/>
        <s v="09:22"/>
        <s v="10:36"/>
        <s v="11:39"/>
        <s v="15:21"/>
        <s v="16:32"/>
        <s v="13:07"/>
        <s v="12:04"/>
        <s v="16:52"/>
        <s v="17:14"/>
        <s v="00:49"/>
        <s v="14:43"/>
        <s v="12:23"/>
        <s v="17:58"/>
        <s v="09:31"/>
        <s v="10:40"/>
        <s v="10:59"/>
        <s v="12:20"/>
        <s v="17:02"/>
        <s v="09:46"/>
        <s v="13:24"/>
        <s v="15:46"/>
        <s v="15:04"/>
        <s v="19:09"/>
        <s v="08:38"/>
        <s v="14:16"/>
        <s v="16:37"/>
        <s v="14:35"/>
        <s v="15:30"/>
        <s v="17:11"/>
        <s v="16:29"/>
        <s v="10:21"/>
        <s v="11:29"/>
        <s v="12:01"/>
        <s v="21:01"/>
        <s v="12:08"/>
        <s v="19:28"/>
        <s v="16:27"/>
        <s v="23:29"/>
        <s v="13:41"/>
        <s v="22:54"/>
        <s v="17:52"/>
        <s v="11:45"/>
        <s v="20:49"/>
        <s v="16:02"/>
        <s v="15:59"/>
        <s v="19:03"/>
        <s v="19:12"/>
        <s v="16:14"/>
        <s v="15:02"/>
        <s v="19:02"/>
        <s v="14:11"/>
        <s v="15:22"/>
        <s v="18:08"/>
        <s v="15:34"/>
        <s v="20:56"/>
        <s v="10:17"/>
        <s v="15:43"/>
        <s v="09:17"/>
        <s v="18:48"/>
        <s v="16:00"/>
        <s v="16:15"/>
        <s v="17:27"/>
        <s v="16:59"/>
        <s v="22:06"/>
        <s v="17:43"/>
        <s v="20:10"/>
        <s v="18:36"/>
        <s v="11:18"/>
        <s v="04:13"/>
        <s v="10:42"/>
        <s v="14:54"/>
        <s v="20:03"/>
        <s v="18:03"/>
        <s v="12:47"/>
        <s v="14:50"/>
        <s v="17:50"/>
        <s v="19:36"/>
        <s v="12:14"/>
        <s v="17:23"/>
        <s v="16:24"/>
        <s v="20:27"/>
        <s v="19:45"/>
        <s v="19:11"/>
        <s v="19:13"/>
        <s v="08:23"/>
        <s v="15:17"/>
        <s v="17:28"/>
        <s v="19:07"/>
        <s v="10:24"/>
        <s v="10:35"/>
        <s v="17:22"/>
        <s v="16:53"/>
        <s v="16:19"/>
        <s v="17:35"/>
        <s v="09:54"/>
        <s v="18:37"/>
        <s v="01:01"/>
        <s v="16:25"/>
        <s v="20:17"/>
        <s v="00:07"/>
        <s v="15:54"/>
        <s v="11:44"/>
        <s v="19:41"/>
        <s v="14:40"/>
        <s v="11:51"/>
        <s v="14:31"/>
        <s v="11:15"/>
        <s v="22:10"/>
        <s v="11:20"/>
        <s v="12:22"/>
        <s v="16:13"/>
        <s v="17:24"/>
        <s v="02:06"/>
        <s v="17:47"/>
        <s v="23:53"/>
        <s v="15:27"/>
        <s v="04:34"/>
        <s v="21:16"/>
        <s v="17:54"/>
        <s v="13:18"/>
        <s v="14:15"/>
        <s v="17:05"/>
        <s v="08:29"/>
        <s v="12:33"/>
        <s v="18:00"/>
        <s v="15:35"/>
        <s v="19:44"/>
        <s v="10:49"/>
        <s v="14:22"/>
        <s v="14:37"/>
        <s v="15:29"/>
        <s v="17:37"/>
        <s v="09:50"/>
        <s v="12:18"/>
        <s v="15:45"/>
        <s v="18:22"/>
        <s v="11:21"/>
        <s v="19:59"/>
        <s v="13:42"/>
        <s v="12:12"/>
        <s v="12:27"/>
        <s v="13:39"/>
        <s v="19:48"/>
        <s v="11:47"/>
        <s v="13:33"/>
        <s v="11:50"/>
        <s v="16:49"/>
        <s v="15:05"/>
        <s v="11:49"/>
        <s v="20:05"/>
        <s v="14:41"/>
        <s v="15:15"/>
        <s v="16:57"/>
        <s v="11:33"/>
        <s v="09:52"/>
        <s v="13:02"/>
        <s v="00:01"/>
        <s v="18:42"/>
        <s v="12:54"/>
        <s v="11:09"/>
        <s v="16:05"/>
        <s v="10:03"/>
        <s v="21:22"/>
        <s v="17:16"/>
        <s v="10:53"/>
        <s v="19:32"/>
        <s v="11:19"/>
        <s v="10:33"/>
        <s v="18:05"/>
        <s v="12:39"/>
        <s v="10:01"/>
        <s v="09:25"/>
        <s v="22:16"/>
        <s v="18:41"/>
        <s v="10:45"/>
        <s v="18:33"/>
        <s v="13:17"/>
        <s v="14:27"/>
        <s v="19:31"/>
        <s v="15:47"/>
        <s v="15:20"/>
        <s v="18:53"/>
        <s v="12:45"/>
        <s v="17:30"/>
        <s v="23:28"/>
        <s v="22:00"/>
        <s v="09:28"/>
        <s v="23:44"/>
        <s v="12:50"/>
        <s v="10:38"/>
        <s v="14:02"/>
        <s v="00:15"/>
        <s v="00:41"/>
        <s v="13:06"/>
        <s v="18:38"/>
        <s v="22:39"/>
        <s v="11:07"/>
        <s v="22:11"/>
        <s v="08:37"/>
        <s v="13:37"/>
        <s v="02:28"/>
        <s v="12:25"/>
        <s v="12:24"/>
        <s v="13:35"/>
        <s v="10:14"/>
        <s v="01:00"/>
        <s v="09:04"/>
        <s v="10:02"/>
        <s v="18:23"/>
        <s v="12:52"/>
        <s v="15:41"/>
        <s v="18:58"/>
        <s v="14:46"/>
        <s v="20:41"/>
        <s v="13:14"/>
        <s v="17:55"/>
        <s v="20:46"/>
        <s v="19:56"/>
        <s v="19:54"/>
        <s v="15:09"/>
        <s v="11:00"/>
        <s v="17:06"/>
        <s v="14:32"/>
        <s v="10:51"/>
        <s v="17:31"/>
        <s v="14:13"/>
        <s v="11:30"/>
        <s v="12:46"/>
        <s v="15:52"/>
        <s v="16:39"/>
        <s v="16:06"/>
        <s v="17:59"/>
        <s v="13:48"/>
        <s v="17:25"/>
        <s v="20:16"/>
        <s v="14:23"/>
        <s v="23:08"/>
        <s v="21:37"/>
        <s v="00:48"/>
        <s v="11:53"/>
        <s v="12:53"/>
        <s v="13:55"/>
        <s v="18:07"/>
        <s v="02:21"/>
        <s v="13:38"/>
        <s v="09:40"/>
        <s v="02:51"/>
        <s v="18:09"/>
        <s v="16:26"/>
        <s v="01:24"/>
        <s v="23:58"/>
        <s v="22:05"/>
        <s v="19:22"/>
        <s v="19:20"/>
        <s v="21:06"/>
        <s v="09:23"/>
        <s v="18:11"/>
        <s v="14:25"/>
        <s v="09:26"/>
        <s v="16:07"/>
        <s v="21:00"/>
        <s v="21:12"/>
        <s v="17:34"/>
        <s v="08:13"/>
        <s v="17:42"/>
        <s v="17:10"/>
        <s v="08:05"/>
        <s v="16:30"/>
        <s v="15:00"/>
        <s v="11:48"/>
        <s v="19:19"/>
        <s v="21:33"/>
        <s v="01:18"/>
        <s v="23:26"/>
        <s v="23:04"/>
        <s v="20:34"/>
        <s v="21:21"/>
        <s v="17:26"/>
        <s v="21:20"/>
        <s v="00:35"/>
        <s v="19:05"/>
        <s v="16:46"/>
        <s v="12:30"/>
        <s v="07:55"/>
        <s v="14:10"/>
        <s v="11:35"/>
        <s v="13:57"/>
        <s v="19:29"/>
        <s v="10:56"/>
        <s v="09:49"/>
        <s v="14:07"/>
        <s v="16:21"/>
        <s v="18:56"/>
        <s v="08:59"/>
        <s v="02:32"/>
        <s v="00:43"/>
        <s v="09:27"/>
        <s v="14:30"/>
        <s v="12:44"/>
        <s v="11:05"/>
        <s v="09:09"/>
        <s v="22:36"/>
        <s v="19:49"/>
        <s v="22:18"/>
        <s v="13:32"/>
        <s v="19:26"/>
        <s v="21:45"/>
        <s v="19:27"/>
        <s v="20:35"/>
      </sharedItems>
    </cacheField>
    <cacheField name="category_name" numFmtId="0">
      <sharedItems count="28">
        <s v="Accesorios para Vehículos"/>
        <s v="Agro"/>
        <s v="Alimentos y Bebidas"/>
        <s v="Animales y Mascotas"/>
        <s v="Antigüedades y Colecciones"/>
        <s v="Arte, Librería y Mercería"/>
        <s v="Bebés"/>
        <s v="Belleza y Cuidado Personal"/>
        <s v="Celulares y Teléfonos"/>
        <s v="Computación"/>
        <s v="Consolas y Videojuegos"/>
        <s v="Construcción"/>
        <s v="Cámaras y Accesorios"/>
        <s v="Deportes y Fitness"/>
        <s v="Electrodomésticos y Aires Ac."/>
        <s v="Electrónica, Audio y Video"/>
        <s v="Herramientas"/>
        <s v="Hogar, Muebles y Jardín"/>
        <s v="Industrias y Oficinas"/>
        <s v="Instrumentos Musicales"/>
        <s v="Joyas y Relojes"/>
        <s v="Juegos y Juguetes"/>
        <s v="Libros, Revistas y Comics"/>
        <s v="Música, Películas y Series"/>
        <s v="Otras categorías"/>
        <s v="Ropa y Accesorios"/>
        <s v="Salud y Equipamiento Médico"/>
        <s v="Souvenirs, Cotillón y Fiestas"/>
      </sharedItems>
      <fieldGroup par="9"/>
    </cacheField>
    <cacheField name="category_id" numFmtId="0">
      <sharedItems/>
    </cacheField>
    <cacheField name="entity_type" numFmtId="0">
      <sharedItems count="2">
        <s v="PRODUCT"/>
        <s v="ITEM"/>
      </sharedItems>
    </cacheField>
    <cacheField name="Categoría2" numFmtId="0" databaseField="0">
      <fieldGroup base="6">
        <discretePr count="28">
          <x v="3"/>
          <x v="3"/>
          <x v="0"/>
          <x v="3"/>
          <x v="3"/>
          <x v="1"/>
          <x v="3"/>
          <x v="3"/>
          <x v="3"/>
          <x v="2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  <x v="3"/>
        </discretePr>
        <groupItems count="4">
          <s v="Alimentos y Bebidas"/>
          <s v="Arte, Librería y Mercería"/>
          <s v="Computación"/>
          <s v="Grupo1"/>
        </groupItems>
      </fieldGroup>
    </cacheField>
  </cacheFields>
  <extLst>
    <ext xmlns:x14="http://schemas.microsoft.com/office/spreadsheetml/2009/9/main" uri="{725AE2AE-9491-48be-B2B4-4EB974FC3084}">
      <x14:pivotCacheDefinition pivotCacheId="21317254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31">
  <r>
    <s v="MLA19148883"/>
    <x v="0"/>
    <x v="0"/>
    <x v="0"/>
    <d v="2022-06-08T11:11:14"/>
    <x v="0"/>
    <x v="0"/>
    <s v="MLA5725"/>
    <x v="0"/>
  </r>
  <r>
    <s v="MLA15018045"/>
    <x v="1"/>
    <x v="1"/>
    <x v="1"/>
    <d v="2019-07-31T16:54:20"/>
    <x v="1"/>
    <x v="0"/>
    <s v="MLA5725"/>
    <x v="0"/>
  </r>
  <r>
    <s v="MLA15737754"/>
    <x v="2"/>
    <x v="2"/>
    <x v="2"/>
    <d v="2020-05-21T14:18:38"/>
    <x v="2"/>
    <x v="0"/>
    <s v="MLA5725"/>
    <x v="0"/>
  </r>
  <r>
    <s v="MLA20023033"/>
    <x v="3"/>
    <x v="3"/>
    <x v="3"/>
    <d v="2022-12-07T10:50:57"/>
    <x v="3"/>
    <x v="0"/>
    <s v="MLA5725"/>
    <x v="0"/>
  </r>
  <r>
    <s v="MLA785918507"/>
    <x v="4"/>
    <x v="4"/>
    <x v="4"/>
    <d v="2019-05-11T18:13:45"/>
    <x v="4"/>
    <x v="0"/>
    <s v="MLA5725"/>
    <x v="1"/>
  </r>
  <r>
    <s v="MLA22386055"/>
    <x v="5"/>
    <x v="5"/>
    <x v="5"/>
    <d v="2023-03-28T17:57:51"/>
    <x v="5"/>
    <x v="0"/>
    <s v="MLA5725"/>
    <x v="0"/>
  </r>
  <r>
    <s v="MLA19628368"/>
    <x v="6"/>
    <x v="6"/>
    <x v="6"/>
    <d v="2022-09-26T16:34:11"/>
    <x v="6"/>
    <x v="0"/>
    <s v="MLA5725"/>
    <x v="0"/>
  </r>
  <r>
    <s v="MLA19719361"/>
    <x v="7"/>
    <x v="7"/>
    <x v="7"/>
    <d v="2022-10-25T10:10:51"/>
    <x v="7"/>
    <x v="0"/>
    <s v="MLA5725"/>
    <x v="0"/>
  </r>
  <r>
    <s v="MLA19667474"/>
    <x v="8"/>
    <x v="8"/>
    <x v="8"/>
    <d v="2022-10-03T12:26:29"/>
    <x v="8"/>
    <x v="0"/>
    <s v="MLA5725"/>
    <x v="0"/>
  </r>
  <r>
    <s v="MLA19628361"/>
    <x v="9"/>
    <x v="9"/>
    <x v="9"/>
    <d v="2022-09-26T16:34:10"/>
    <x v="6"/>
    <x v="0"/>
    <s v="MLA5725"/>
    <x v="0"/>
  </r>
  <r>
    <s v="MLA935661345"/>
    <x v="10"/>
    <x v="10"/>
    <x v="10"/>
    <d v="2021-08-24T12:09:34"/>
    <x v="9"/>
    <x v="0"/>
    <s v="MLA5725"/>
    <x v="1"/>
  </r>
  <r>
    <s v="MLA853627996"/>
    <x v="10"/>
    <x v="11"/>
    <x v="11"/>
    <d v="2020-05-06T10:52:34"/>
    <x v="10"/>
    <x v="0"/>
    <s v="MLA5725"/>
    <x v="1"/>
  </r>
  <r>
    <s v="MLA904876200"/>
    <x v="10"/>
    <x v="12"/>
    <x v="12"/>
    <d v="2021-01-19T19:14:08"/>
    <x v="11"/>
    <x v="0"/>
    <s v="MLA5725"/>
    <x v="1"/>
  </r>
  <r>
    <s v="MLA801388354"/>
    <x v="10"/>
    <x v="13"/>
    <x v="13"/>
    <d v="2019-07-18T18:50:33"/>
    <x v="12"/>
    <x v="0"/>
    <s v="MLA5725"/>
    <x v="1"/>
  </r>
  <r>
    <s v="MLA862867157"/>
    <x v="10"/>
    <x v="14"/>
    <x v="14"/>
    <d v="2020-06-17T20:14:45"/>
    <x v="13"/>
    <x v="0"/>
    <s v="MLA5725"/>
    <x v="1"/>
  </r>
  <r>
    <s v="MLA606861275"/>
    <x v="11"/>
    <x v="15"/>
    <x v="15"/>
    <d v="2016-02-19T22:46:03"/>
    <x v="14"/>
    <x v="0"/>
    <s v="MLA5725"/>
    <x v="1"/>
  </r>
  <r>
    <s v="MLA23380726"/>
    <x v="12"/>
    <x v="16"/>
    <x v="16"/>
    <d v="2023-05-19T19:18:10"/>
    <x v="15"/>
    <x v="0"/>
    <s v="MLA5725"/>
    <x v="0"/>
  </r>
  <r>
    <s v="MLA924716196"/>
    <x v="13"/>
    <x v="17"/>
    <x v="17"/>
    <d v="2021-06-09T14:52:48"/>
    <x v="16"/>
    <x v="0"/>
    <s v="MLA5725"/>
    <x v="1"/>
  </r>
  <r>
    <s v="MLA1364708505"/>
    <x v="14"/>
    <x v="18"/>
    <x v="18"/>
    <d v="2023-04-03T17:46:22"/>
    <x v="17"/>
    <x v="0"/>
    <s v="MLA5725"/>
    <x v="1"/>
  </r>
  <r>
    <s v="MLA13121234"/>
    <x v="15"/>
    <x v="19"/>
    <x v="19"/>
    <d v="2018-11-29T10:29:06"/>
    <x v="18"/>
    <x v="1"/>
    <s v="MLA1512"/>
    <x v="0"/>
  </r>
  <r>
    <s v="MLA15829403"/>
    <x v="16"/>
    <x v="20"/>
    <x v="20"/>
    <d v="2020-07-01T12:06:11"/>
    <x v="19"/>
    <x v="1"/>
    <s v="MLA1512"/>
    <x v="0"/>
  </r>
  <r>
    <s v="MLA19200921"/>
    <x v="17"/>
    <x v="21"/>
    <x v="21"/>
    <d v="2022-06-24T12:02:05"/>
    <x v="20"/>
    <x v="1"/>
    <s v="MLA1512"/>
    <x v="0"/>
  </r>
  <r>
    <s v="MLA14603977"/>
    <x v="18"/>
    <x v="22"/>
    <x v="22"/>
    <d v="2019-05-09T19:00:58"/>
    <x v="21"/>
    <x v="1"/>
    <s v="MLA1512"/>
    <x v="0"/>
  </r>
  <r>
    <s v="MLA16216420"/>
    <x v="19"/>
    <x v="23"/>
    <x v="23"/>
    <d v="2020-11-03T12:29:18"/>
    <x v="22"/>
    <x v="1"/>
    <s v="MLA1512"/>
    <x v="0"/>
  </r>
  <r>
    <s v="MLA19586510"/>
    <x v="20"/>
    <x v="24"/>
    <x v="24"/>
    <d v="2022-09-07T14:29:10"/>
    <x v="23"/>
    <x v="1"/>
    <s v="MLA1512"/>
    <x v="0"/>
  </r>
  <r>
    <s v="MLA17717346"/>
    <x v="21"/>
    <x v="25"/>
    <x v="25"/>
    <d v="2021-04-05T16:51:20"/>
    <x v="24"/>
    <x v="1"/>
    <s v="MLA1512"/>
    <x v="0"/>
  </r>
  <r>
    <s v="MLA16479701"/>
    <x v="22"/>
    <x v="26"/>
    <x v="26"/>
    <d v="2020-12-01T15:40:30"/>
    <x v="25"/>
    <x v="1"/>
    <s v="MLA1512"/>
    <x v="0"/>
  </r>
  <r>
    <s v="MLA21791453"/>
    <x v="23"/>
    <x v="27"/>
    <x v="27"/>
    <d v="2023-02-19T08:36:53"/>
    <x v="26"/>
    <x v="1"/>
    <s v="MLA1512"/>
    <x v="0"/>
  </r>
  <r>
    <s v="MLA928701530"/>
    <x v="24"/>
    <x v="28"/>
    <x v="28"/>
    <d v="2021-07-08T11:06:59"/>
    <x v="27"/>
    <x v="1"/>
    <s v="MLA1512"/>
    <x v="1"/>
  </r>
  <r>
    <s v="MLA902005840"/>
    <x v="24"/>
    <x v="29"/>
    <x v="29"/>
    <d v="2020-12-22T18:01:59"/>
    <x v="28"/>
    <x v="1"/>
    <s v="MLA1512"/>
    <x v="1"/>
  </r>
  <r>
    <s v="MLA1104509514"/>
    <x v="24"/>
    <x v="30"/>
    <x v="30"/>
    <d v="2021-09-22T10:00:02"/>
    <x v="29"/>
    <x v="1"/>
    <s v="MLA1512"/>
    <x v="1"/>
  </r>
  <r>
    <s v="MLA1125369616"/>
    <x v="24"/>
    <x v="31"/>
    <x v="31"/>
    <d v="2022-02-28T14:19:02"/>
    <x v="30"/>
    <x v="1"/>
    <s v="MLA1512"/>
    <x v="1"/>
  </r>
  <r>
    <s v="MLA913169453"/>
    <x v="24"/>
    <x v="32"/>
    <x v="28"/>
    <d v="2021-03-23T11:46:29"/>
    <x v="31"/>
    <x v="1"/>
    <s v="MLA1512"/>
    <x v="1"/>
  </r>
  <r>
    <s v="MLA908877608"/>
    <x v="24"/>
    <x v="33"/>
    <x v="32"/>
    <d v="2021-02-19T09:08:10"/>
    <x v="32"/>
    <x v="1"/>
    <s v="MLA1512"/>
    <x v="1"/>
  </r>
  <r>
    <s v="MLA1316644717"/>
    <x v="25"/>
    <x v="34"/>
    <x v="33"/>
    <d v="2023-01-20T12:29:44"/>
    <x v="22"/>
    <x v="1"/>
    <s v="MLA1512"/>
    <x v="1"/>
  </r>
  <r>
    <s v="MLA773913817"/>
    <x v="25"/>
    <x v="35"/>
    <x v="34"/>
    <d v="2019-03-05T09:39:11"/>
    <x v="33"/>
    <x v="1"/>
    <s v="MLA1512"/>
    <x v="1"/>
  </r>
  <r>
    <s v="MLA1102737510"/>
    <x v="26"/>
    <x v="36"/>
    <x v="35"/>
    <d v="2021-09-10T17:18:22"/>
    <x v="34"/>
    <x v="1"/>
    <s v="MLA1512"/>
    <x v="1"/>
  </r>
  <r>
    <s v="MLA1318702355"/>
    <x v="27"/>
    <x v="37"/>
    <x v="36"/>
    <d v="2023-01-23T15:26:18"/>
    <x v="35"/>
    <x v="1"/>
    <s v="MLA1512"/>
    <x v="1"/>
  </r>
  <r>
    <s v="MLA1142088345"/>
    <x v="28"/>
    <x v="38"/>
    <x v="37"/>
    <d v="2022-06-11T11:59:00"/>
    <x v="36"/>
    <x v="1"/>
    <s v="MLA1512"/>
    <x v="1"/>
  </r>
  <r>
    <s v="MLA16167744"/>
    <x v="29"/>
    <x v="39"/>
    <x v="38"/>
    <d v="2020-10-15T11:11:24"/>
    <x v="0"/>
    <x v="2"/>
    <s v="MLA1403"/>
    <x v="0"/>
  </r>
  <r>
    <s v="MLA19629590"/>
    <x v="30"/>
    <x v="40"/>
    <x v="39"/>
    <d v="2022-09-26T20:04:11"/>
    <x v="37"/>
    <x v="2"/>
    <s v="MLA1403"/>
    <x v="0"/>
  </r>
  <r>
    <s v="MLA16167699"/>
    <x v="31"/>
    <x v="41"/>
    <x v="38"/>
    <d v="2020-10-15T11:11:20"/>
    <x v="0"/>
    <x v="2"/>
    <s v="MLA1403"/>
    <x v="0"/>
  </r>
  <r>
    <s v="MLA16167625"/>
    <x v="32"/>
    <x v="42"/>
    <x v="38"/>
    <d v="2020-10-15T11:11:15"/>
    <x v="0"/>
    <x v="2"/>
    <s v="MLA1403"/>
    <x v="0"/>
  </r>
  <r>
    <s v="MLA16167792"/>
    <x v="33"/>
    <x v="43"/>
    <x v="39"/>
    <d v="2020-10-15T11:11:28"/>
    <x v="0"/>
    <x v="2"/>
    <s v="MLA1403"/>
    <x v="0"/>
  </r>
  <r>
    <s v="MLA21017193"/>
    <x v="34"/>
    <x v="44"/>
    <x v="40"/>
    <d v="2023-01-04T14:52:28"/>
    <x v="16"/>
    <x v="2"/>
    <s v="MLA1403"/>
    <x v="0"/>
  </r>
  <r>
    <s v="MLA16595257"/>
    <x v="35"/>
    <x v="45"/>
    <x v="41"/>
    <d v="2020-12-10T15:38:04"/>
    <x v="38"/>
    <x v="2"/>
    <s v="MLA1403"/>
    <x v="0"/>
  </r>
  <r>
    <s v="MLA19939007"/>
    <x v="36"/>
    <x v="46"/>
    <x v="42"/>
    <d v="2022-12-02T20:32:36"/>
    <x v="39"/>
    <x v="2"/>
    <s v="MLA1403"/>
    <x v="0"/>
  </r>
  <r>
    <s v="MLA16010049"/>
    <x v="37"/>
    <x v="47"/>
    <x v="43"/>
    <d v="2020-08-13T13:30:32"/>
    <x v="40"/>
    <x v="2"/>
    <s v="MLA1403"/>
    <x v="0"/>
  </r>
  <r>
    <s v="MLA16595027"/>
    <x v="38"/>
    <x v="48"/>
    <x v="44"/>
    <d v="2020-12-10T15:37:41"/>
    <x v="41"/>
    <x v="2"/>
    <s v="MLA1403"/>
    <x v="0"/>
  </r>
  <r>
    <s v="MLA20719337"/>
    <x v="39"/>
    <x v="49"/>
    <x v="45"/>
    <d v="2022-12-15T14:44:16"/>
    <x v="42"/>
    <x v="2"/>
    <s v="MLA1403"/>
    <x v="0"/>
  </r>
  <r>
    <s v="MLA19839481"/>
    <x v="40"/>
    <x v="50"/>
    <x v="46"/>
    <d v="2022-11-16T18:12:08"/>
    <x v="43"/>
    <x v="2"/>
    <s v="MLA1403"/>
    <x v="0"/>
  </r>
  <r>
    <s v="MLA19938866"/>
    <x v="41"/>
    <x v="51"/>
    <x v="47"/>
    <d v="2022-12-02T19:04:53"/>
    <x v="44"/>
    <x v="2"/>
    <s v="MLA1403"/>
    <x v="0"/>
  </r>
  <r>
    <s v="MLA22575565"/>
    <x v="42"/>
    <x v="52"/>
    <x v="48"/>
    <d v="2023-04-14T08:07:32"/>
    <x v="45"/>
    <x v="2"/>
    <s v="MLA1403"/>
    <x v="0"/>
  </r>
  <r>
    <s v="MLA16010002"/>
    <x v="43"/>
    <x v="53"/>
    <x v="49"/>
    <d v="2020-08-13T13:30:24"/>
    <x v="40"/>
    <x v="2"/>
    <s v="MLA1403"/>
    <x v="0"/>
  </r>
  <r>
    <s v="MLA19593112"/>
    <x v="44"/>
    <x v="54"/>
    <x v="50"/>
    <d v="2022-09-09T20:39:32"/>
    <x v="46"/>
    <x v="2"/>
    <s v="MLA1403"/>
    <x v="0"/>
  </r>
  <r>
    <s v="MLA19875119"/>
    <x v="45"/>
    <x v="55"/>
    <x v="51"/>
    <d v="2022-11-21T18:39:13"/>
    <x v="47"/>
    <x v="2"/>
    <s v="MLA1403"/>
    <x v="0"/>
  </r>
  <r>
    <s v="MLA19609638"/>
    <x v="46"/>
    <x v="56"/>
    <x v="52"/>
    <d v="2022-09-15T20:02:36"/>
    <x v="48"/>
    <x v="2"/>
    <s v="MLA1403"/>
    <x v="0"/>
  </r>
  <r>
    <s v="MLA21088240"/>
    <x v="47"/>
    <x v="57"/>
    <x v="53"/>
    <d v="2023-01-10T14:17:56"/>
    <x v="49"/>
    <x v="2"/>
    <s v="MLA1403"/>
    <x v="0"/>
  </r>
  <r>
    <s v="MLA1107994166"/>
    <x v="10"/>
    <x v="58"/>
    <x v="54"/>
    <d v="2021-10-13T14:14:31"/>
    <x v="50"/>
    <x v="2"/>
    <s v="MLA1403"/>
    <x v="1"/>
  </r>
  <r>
    <s v="MLA8726956"/>
    <x v="48"/>
    <x v="59"/>
    <x v="55"/>
    <d v="2017-12-06T17:18:54"/>
    <x v="34"/>
    <x v="3"/>
    <s v="MLA1071"/>
    <x v="0"/>
  </r>
  <r>
    <s v="MLA15135858"/>
    <x v="49"/>
    <x v="60"/>
    <x v="56"/>
    <d v="2019-09-12T11:36:53"/>
    <x v="51"/>
    <x v="3"/>
    <s v="MLA1071"/>
    <x v="0"/>
  </r>
  <r>
    <s v="MLA8755744"/>
    <x v="50"/>
    <x v="61"/>
    <x v="57"/>
    <d v="2017-12-26T11:13:27"/>
    <x v="52"/>
    <x v="3"/>
    <s v="MLA1071"/>
    <x v="0"/>
  </r>
  <r>
    <s v="MLA15233904"/>
    <x v="51"/>
    <x v="62"/>
    <x v="58"/>
    <d v="2019-11-11T17:17:28"/>
    <x v="53"/>
    <x v="3"/>
    <s v="MLA1071"/>
    <x v="0"/>
  </r>
  <r>
    <s v="MLA8975871"/>
    <x v="52"/>
    <x v="63"/>
    <x v="59"/>
    <d v="2018-03-06T09:22:20"/>
    <x v="54"/>
    <x v="3"/>
    <s v="MLA1071"/>
    <x v="0"/>
  </r>
  <r>
    <s v="MLA8726955"/>
    <x v="53"/>
    <x v="64"/>
    <x v="60"/>
    <d v="2017-12-06T17:18:54"/>
    <x v="34"/>
    <x v="3"/>
    <s v="MLA1071"/>
    <x v="0"/>
  </r>
  <r>
    <s v="MLA8726953"/>
    <x v="54"/>
    <x v="65"/>
    <x v="61"/>
    <d v="2017-12-06T17:18:54"/>
    <x v="34"/>
    <x v="3"/>
    <s v="MLA1071"/>
    <x v="0"/>
  </r>
  <r>
    <s v="MLA15394015"/>
    <x v="55"/>
    <x v="66"/>
    <x v="62"/>
    <d v="2020-01-21T10:36:04"/>
    <x v="55"/>
    <x v="3"/>
    <s v="MLA1071"/>
    <x v="0"/>
  </r>
  <r>
    <s v="MLA8755752"/>
    <x v="56"/>
    <x v="67"/>
    <x v="63"/>
    <d v="2017-12-26T11:13:28"/>
    <x v="52"/>
    <x v="3"/>
    <s v="MLA1071"/>
    <x v="0"/>
  </r>
  <r>
    <s v="MLA15135849"/>
    <x v="57"/>
    <x v="68"/>
    <x v="64"/>
    <d v="2019-09-12T11:36:52"/>
    <x v="51"/>
    <x v="3"/>
    <s v="MLA1071"/>
    <x v="0"/>
  </r>
  <r>
    <s v="MLA15135851"/>
    <x v="58"/>
    <x v="69"/>
    <x v="65"/>
    <d v="2019-09-12T11:36:52"/>
    <x v="51"/>
    <x v="3"/>
    <s v="MLA1071"/>
    <x v="0"/>
  </r>
  <r>
    <s v="MLA8918888"/>
    <x v="59"/>
    <x v="70"/>
    <x v="66"/>
    <d v="2018-02-14T11:39:00"/>
    <x v="56"/>
    <x v="3"/>
    <s v="MLA1071"/>
    <x v="0"/>
  </r>
  <r>
    <s v="MLA15144814"/>
    <x v="60"/>
    <x v="71"/>
    <x v="67"/>
    <d v="2019-09-18T15:21:19"/>
    <x v="57"/>
    <x v="3"/>
    <s v="MLA1071"/>
    <x v="0"/>
  </r>
  <r>
    <s v="MLA15168925"/>
    <x v="61"/>
    <x v="72"/>
    <x v="68"/>
    <d v="2019-10-02T16:32:02"/>
    <x v="58"/>
    <x v="3"/>
    <s v="MLA1071"/>
    <x v="0"/>
  </r>
  <r>
    <s v="MLA10201197"/>
    <x v="62"/>
    <x v="73"/>
    <x v="69"/>
    <d v="2018-07-26T13:07:00"/>
    <x v="59"/>
    <x v="3"/>
    <s v="MLA1071"/>
    <x v="0"/>
  </r>
  <r>
    <s v="MLA13125652"/>
    <x v="63"/>
    <x v="74"/>
    <x v="70"/>
    <d v="2018-11-29T12:04:07"/>
    <x v="60"/>
    <x v="3"/>
    <s v="MLA1071"/>
    <x v="0"/>
  </r>
  <r>
    <s v="MLA11878396"/>
    <x v="64"/>
    <x v="75"/>
    <x v="71"/>
    <d v="2018-10-10T16:52:05"/>
    <x v="61"/>
    <x v="3"/>
    <s v="MLA1071"/>
    <x v="0"/>
  </r>
  <r>
    <s v="MLA22371309"/>
    <x v="65"/>
    <x v="76"/>
    <x v="72"/>
    <d v="2023-03-24T17:14:24"/>
    <x v="62"/>
    <x v="3"/>
    <s v="MLA1071"/>
    <x v="0"/>
  </r>
  <r>
    <s v="MLA20995296"/>
    <x v="66"/>
    <x v="77"/>
    <x v="59"/>
    <d v="2023-01-04T00:49:18"/>
    <x v="63"/>
    <x v="3"/>
    <s v="MLA1071"/>
    <x v="0"/>
  </r>
  <r>
    <s v="MLA1122016361"/>
    <x v="10"/>
    <x v="78"/>
    <x v="73"/>
    <d v="2022-02-03T14:43:46"/>
    <x v="64"/>
    <x v="3"/>
    <s v="MLA1071"/>
    <x v="1"/>
  </r>
  <r>
    <s v="MLA15843641"/>
    <x v="67"/>
    <x v="79"/>
    <x v="74"/>
    <d v="2020-07-08T12:23:43"/>
    <x v="65"/>
    <x v="4"/>
    <s v="MLA1367"/>
    <x v="0"/>
  </r>
  <r>
    <s v="MLA925577126"/>
    <x v="10"/>
    <x v="80"/>
    <x v="75"/>
    <d v="2021-06-14T17:58:03"/>
    <x v="66"/>
    <x v="4"/>
    <s v="MLA1367"/>
    <x v="1"/>
  </r>
  <r>
    <s v="MLA15157343"/>
    <x v="68"/>
    <x v="81"/>
    <x v="76"/>
    <d v="2019-09-26T09:31:54"/>
    <x v="67"/>
    <x v="4"/>
    <s v="MLA1367"/>
    <x v="0"/>
  </r>
  <r>
    <s v="MLA20008375"/>
    <x v="69"/>
    <x v="82"/>
    <x v="77"/>
    <d v="2022-12-07T10:40:12"/>
    <x v="68"/>
    <x v="4"/>
    <s v="MLA1367"/>
    <x v="0"/>
  </r>
  <r>
    <s v="MLA20008383"/>
    <x v="70"/>
    <x v="83"/>
    <x v="78"/>
    <d v="2022-12-07T10:40:13"/>
    <x v="68"/>
    <x v="4"/>
    <s v="MLA1367"/>
    <x v="0"/>
  </r>
  <r>
    <s v="MLA900665663"/>
    <x v="71"/>
    <x v="84"/>
    <x v="79"/>
    <d v="2020-12-11T10:59:15"/>
    <x v="69"/>
    <x v="4"/>
    <s v="MLA1367"/>
    <x v="1"/>
  </r>
  <r>
    <s v="MLA900683500"/>
    <x v="72"/>
    <x v="85"/>
    <x v="79"/>
    <d v="2020-12-11T12:20:15"/>
    <x v="70"/>
    <x v="4"/>
    <s v="MLA1367"/>
    <x v="1"/>
  </r>
  <r>
    <s v="MLA20008386"/>
    <x v="73"/>
    <x v="86"/>
    <x v="80"/>
    <d v="2022-12-07T10:40:13"/>
    <x v="68"/>
    <x v="4"/>
    <s v="MLA1367"/>
    <x v="0"/>
  </r>
  <r>
    <s v="MLA1285511942"/>
    <x v="24"/>
    <x v="80"/>
    <x v="81"/>
    <d v="2022-12-19T17:02:51"/>
    <x v="71"/>
    <x v="4"/>
    <s v="MLA1367"/>
    <x v="1"/>
  </r>
  <r>
    <s v="MLA623602486"/>
    <x v="24"/>
    <x v="87"/>
    <x v="82"/>
    <d v="2016-06-10T09:46:17"/>
    <x v="72"/>
    <x v="4"/>
    <s v="MLA1367"/>
    <x v="1"/>
  </r>
  <r>
    <s v="MLA859199369"/>
    <x v="24"/>
    <x v="88"/>
    <x v="83"/>
    <d v="2020-05-31T11:59:12"/>
    <x v="36"/>
    <x v="4"/>
    <s v="MLA1367"/>
    <x v="1"/>
  </r>
  <r>
    <s v="MLA20035787"/>
    <x v="74"/>
    <x v="89"/>
    <x v="84"/>
    <d v="2022-12-07T10:59:53"/>
    <x v="69"/>
    <x v="4"/>
    <s v="MLA1367"/>
    <x v="0"/>
  </r>
  <r>
    <s v="MLA904219695"/>
    <x v="25"/>
    <x v="90"/>
    <x v="85"/>
    <d v="2021-01-14T13:24:55"/>
    <x v="73"/>
    <x v="4"/>
    <s v="MLA1367"/>
    <x v="1"/>
  </r>
  <r>
    <s v="MLA635816739"/>
    <x v="75"/>
    <x v="91"/>
    <x v="86"/>
    <d v="2016-09-20T15:46:22"/>
    <x v="74"/>
    <x v="4"/>
    <s v="MLA1367"/>
    <x v="1"/>
  </r>
  <r>
    <s v="MLA851085844"/>
    <x v="27"/>
    <x v="92"/>
    <x v="87"/>
    <d v="2020-04-23T15:04:17"/>
    <x v="75"/>
    <x v="4"/>
    <s v="MLA1367"/>
    <x v="1"/>
  </r>
  <r>
    <s v="MLA1383134100"/>
    <x v="27"/>
    <x v="93"/>
    <x v="88"/>
    <d v="2023-03-29T19:09:46"/>
    <x v="76"/>
    <x v="4"/>
    <s v="MLA1367"/>
    <x v="1"/>
  </r>
  <r>
    <s v="MLA721293444"/>
    <x v="76"/>
    <x v="94"/>
    <x v="89"/>
    <d v="2018-04-25T08:38:52"/>
    <x v="77"/>
    <x v="4"/>
    <s v="MLA1367"/>
    <x v="1"/>
  </r>
  <r>
    <s v="MLA670769993"/>
    <x v="77"/>
    <x v="95"/>
    <x v="90"/>
    <d v="2017-06-15T14:16:23"/>
    <x v="78"/>
    <x v="4"/>
    <s v="MLA1367"/>
    <x v="1"/>
  </r>
  <r>
    <s v="MLA1373255195"/>
    <x v="78"/>
    <x v="80"/>
    <x v="91"/>
    <d v="2023-06-13T16:37:27"/>
    <x v="79"/>
    <x v="4"/>
    <s v="MLA1367"/>
    <x v="1"/>
  </r>
  <r>
    <s v="MLA1347075767"/>
    <x v="28"/>
    <x v="96"/>
    <x v="92"/>
    <d v="2023-02-15T14:35:56"/>
    <x v="80"/>
    <x v="4"/>
    <s v="MLA1367"/>
    <x v="1"/>
  </r>
  <r>
    <s v="MLA14811959"/>
    <x v="79"/>
    <x v="97"/>
    <x v="93"/>
    <d v="2019-06-25T15:30:03"/>
    <x v="81"/>
    <x v="5"/>
    <s v="MLA1368"/>
    <x v="0"/>
  </r>
  <r>
    <s v="MLA20800098"/>
    <x v="80"/>
    <x v="98"/>
    <x v="94"/>
    <d v="2022-12-19T17:11:28"/>
    <x v="82"/>
    <x v="5"/>
    <s v="MLA1368"/>
    <x v="0"/>
  </r>
  <r>
    <s v="MLA11578259"/>
    <x v="81"/>
    <x v="99"/>
    <x v="95"/>
    <d v="2018-10-01T16:29:41"/>
    <x v="83"/>
    <x v="5"/>
    <s v="MLA1368"/>
    <x v="0"/>
  </r>
  <r>
    <s v="MLA14814752"/>
    <x v="82"/>
    <x v="100"/>
    <x v="96"/>
    <d v="2019-06-26T10:21:09"/>
    <x v="84"/>
    <x v="5"/>
    <s v="MLA1368"/>
    <x v="0"/>
  </r>
  <r>
    <s v="MLA20794899"/>
    <x v="83"/>
    <x v="101"/>
    <x v="97"/>
    <d v="2022-12-19T11:29:24"/>
    <x v="85"/>
    <x v="5"/>
    <s v="MLA1368"/>
    <x v="0"/>
  </r>
  <r>
    <s v="MLA23644151"/>
    <x v="84"/>
    <x v="102"/>
    <x v="98"/>
    <d v="2023-06-02T12:01:11"/>
    <x v="86"/>
    <x v="5"/>
    <s v="MLA1368"/>
    <x v="0"/>
  </r>
  <r>
    <s v="MLA23565243"/>
    <x v="85"/>
    <x v="103"/>
    <x v="99"/>
    <d v="2023-05-30T21:01:09"/>
    <x v="87"/>
    <x v="5"/>
    <s v="MLA1368"/>
    <x v="0"/>
  </r>
  <r>
    <s v="MLA840031481"/>
    <x v="86"/>
    <x v="104"/>
    <x v="100"/>
    <d v="2020-02-19T12:08:04"/>
    <x v="88"/>
    <x v="5"/>
    <s v="MLA1368"/>
    <x v="1"/>
  </r>
  <r>
    <s v="MLA877387604"/>
    <x v="10"/>
    <x v="105"/>
    <x v="101"/>
    <d v="2020-09-08T10:59:43"/>
    <x v="69"/>
    <x v="5"/>
    <s v="MLA1368"/>
    <x v="1"/>
  </r>
  <r>
    <s v="MLA1123489347"/>
    <x v="10"/>
    <x v="106"/>
    <x v="97"/>
    <d v="2022-02-14T12:29:59"/>
    <x v="22"/>
    <x v="5"/>
    <s v="MLA1368"/>
    <x v="1"/>
  </r>
  <r>
    <s v="MLA743644205"/>
    <x v="10"/>
    <x v="107"/>
    <x v="102"/>
    <d v="2018-08-17T19:28:27"/>
    <x v="89"/>
    <x v="5"/>
    <s v="MLA1368"/>
    <x v="1"/>
  </r>
  <r>
    <s v="MLA929623547"/>
    <x v="10"/>
    <x v="108"/>
    <x v="103"/>
    <d v="2021-07-15T16:27:58"/>
    <x v="90"/>
    <x v="5"/>
    <s v="MLA1368"/>
    <x v="1"/>
  </r>
  <r>
    <s v="MLA1111539962"/>
    <x v="10"/>
    <x v="109"/>
    <x v="104"/>
    <d v="2021-11-08T23:29:02"/>
    <x v="91"/>
    <x v="5"/>
    <s v="MLA1368"/>
    <x v="1"/>
  </r>
  <r>
    <s v="MLA864658460"/>
    <x v="87"/>
    <x v="110"/>
    <x v="105"/>
    <d v="2020-06-26T13:41:13"/>
    <x v="92"/>
    <x v="5"/>
    <s v="MLA1368"/>
    <x v="1"/>
  </r>
  <r>
    <s v="MLA896652682"/>
    <x v="88"/>
    <x v="111"/>
    <x v="106"/>
    <d v="2020-11-10T22:54:17"/>
    <x v="93"/>
    <x v="5"/>
    <s v="MLA1368"/>
    <x v="1"/>
  </r>
  <r>
    <s v="MLA1374121719"/>
    <x v="89"/>
    <x v="112"/>
    <x v="107"/>
    <d v="2023-06-21T17:14:34"/>
    <x v="62"/>
    <x v="5"/>
    <s v="MLA1368"/>
    <x v="1"/>
  </r>
  <r>
    <s v="MLA1133470067"/>
    <x v="24"/>
    <x v="113"/>
    <x v="108"/>
    <d v="2022-04-22T17:52:37"/>
    <x v="94"/>
    <x v="5"/>
    <s v="MLA1368"/>
    <x v="1"/>
  </r>
  <r>
    <s v="MLA1112249974"/>
    <x v="24"/>
    <x v="114"/>
    <x v="109"/>
    <d v="2021-11-13T11:45:23"/>
    <x v="95"/>
    <x v="5"/>
    <s v="MLA1368"/>
    <x v="1"/>
  </r>
  <r>
    <s v="MLA1113212602"/>
    <x v="24"/>
    <x v="115"/>
    <x v="110"/>
    <d v="2021-11-19T20:49:43"/>
    <x v="96"/>
    <x v="5"/>
    <s v="MLA1368"/>
    <x v="1"/>
  </r>
  <r>
    <s v="MLA1109878009"/>
    <x v="24"/>
    <x v="116"/>
    <x v="111"/>
    <d v="2021-10-26T16:02:15"/>
    <x v="97"/>
    <x v="5"/>
    <s v="MLA1368"/>
    <x v="1"/>
  </r>
  <r>
    <s v="MLA17413071"/>
    <x v="90"/>
    <x v="117"/>
    <x v="112"/>
    <d v="2021-02-25T15:59:09"/>
    <x v="98"/>
    <x v="6"/>
    <s v="MLA1384"/>
    <x v="0"/>
  </r>
  <r>
    <s v="MLA15821802"/>
    <x v="91"/>
    <x v="118"/>
    <x v="17"/>
    <d v="2020-06-26T19:03:31"/>
    <x v="99"/>
    <x v="6"/>
    <s v="MLA1384"/>
    <x v="0"/>
  </r>
  <r>
    <s v="MLA15821801"/>
    <x v="92"/>
    <x v="119"/>
    <x v="113"/>
    <d v="2020-06-26T19:03:30"/>
    <x v="99"/>
    <x v="6"/>
    <s v="MLA1384"/>
    <x v="0"/>
  </r>
  <r>
    <s v="MLA17413070"/>
    <x v="93"/>
    <x v="120"/>
    <x v="112"/>
    <d v="2021-02-25T15:59:09"/>
    <x v="98"/>
    <x v="6"/>
    <s v="MLA1384"/>
    <x v="0"/>
  </r>
  <r>
    <s v="MLA15993170"/>
    <x v="94"/>
    <x v="121"/>
    <x v="114"/>
    <d v="2020-08-06T19:12:44"/>
    <x v="100"/>
    <x v="6"/>
    <s v="MLA1384"/>
    <x v="0"/>
  </r>
  <r>
    <s v="MLA15821799"/>
    <x v="95"/>
    <x v="122"/>
    <x v="17"/>
    <d v="2020-06-26T19:03:29"/>
    <x v="99"/>
    <x v="6"/>
    <s v="MLA1384"/>
    <x v="0"/>
  </r>
  <r>
    <s v="MLA15995382"/>
    <x v="96"/>
    <x v="123"/>
    <x v="115"/>
    <d v="2020-08-07T16:14:46"/>
    <x v="101"/>
    <x v="6"/>
    <s v="MLA1384"/>
    <x v="0"/>
  </r>
  <r>
    <s v="MLA17460321"/>
    <x v="97"/>
    <x v="124"/>
    <x v="106"/>
    <d v="2021-03-12T15:02:58"/>
    <x v="102"/>
    <x v="6"/>
    <s v="MLA1384"/>
    <x v="0"/>
  </r>
  <r>
    <s v="MLA19475008"/>
    <x v="98"/>
    <x v="125"/>
    <x v="116"/>
    <d v="2022-07-26T19:02:37"/>
    <x v="103"/>
    <x v="6"/>
    <s v="MLA1384"/>
    <x v="0"/>
  </r>
  <r>
    <s v="MLA19475010"/>
    <x v="99"/>
    <x v="126"/>
    <x v="117"/>
    <d v="2022-07-26T19:02:37"/>
    <x v="103"/>
    <x v="6"/>
    <s v="MLA1384"/>
    <x v="0"/>
  </r>
  <r>
    <s v="MLA10791888"/>
    <x v="100"/>
    <x v="127"/>
    <x v="118"/>
    <d v="2018-08-24T14:11:01"/>
    <x v="104"/>
    <x v="6"/>
    <s v="MLA1384"/>
    <x v="0"/>
  </r>
  <r>
    <s v="MLA14561679"/>
    <x v="101"/>
    <x v="128"/>
    <x v="119"/>
    <d v="2019-05-02T15:22:59"/>
    <x v="105"/>
    <x v="6"/>
    <s v="MLA1384"/>
    <x v="0"/>
  </r>
  <r>
    <s v="MLA19590484"/>
    <x v="102"/>
    <x v="129"/>
    <x v="120"/>
    <d v="2022-09-08T18:08:01"/>
    <x v="106"/>
    <x v="6"/>
    <s v="MLA1384"/>
    <x v="0"/>
  </r>
  <r>
    <s v="MLA19475009"/>
    <x v="103"/>
    <x v="130"/>
    <x v="121"/>
    <d v="2022-07-26T19:02:37"/>
    <x v="103"/>
    <x v="6"/>
    <s v="MLA1384"/>
    <x v="0"/>
  </r>
  <r>
    <s v="MLA23414355"/>
    <x v="104"/>
    <x v="131"/>
    <x v="122"/>
    <d v="2023-05-24T15:34:32"/>
    <x v="107"/>
    <x v="6"/>
    <s v="MLA1384"/>
    <x v="0"/>
  </r>
  <r>
    <s v="MLA21553476"/>
    <x v="105"/>
    <x v="132"/>
    <x v="123"/>
    <d v="2023-01-31T20:56:19"/>
    <x v="108"/>
    <x v="6"/>
    <s v="MLA1384"/>
    <x v="0"/>
  </r>
  <r>
    <s v="MLA22520282"/>
    <x v="106"/>
    <x v="133"/>
    <x v="124"/>
    <d v="2023-04-06T19:28:11"/>
    <x v="89"/>
    <x v="6"/>
    <s v="MLA1384"/>
    <x v="0"/>
  </r>
  <r>
    <s v="MLA910506725"/>
    <x v="107"/>
    <x v="134"/>
    <x v="125"/>
    <d v="2021-03-04T10:17:01"/>
    <x v="109"/>
    <x v="6"/>
    <s v="MLA1384"/>
    <x v="1"/>
  </r>
  <r>
    <s v="MLA1115535942"/>
    <x v="27"/>
    <x v="135"/>
    <x v="126"/>
    <d v="2021-12-10T15:43:26"/>
    <x v="110"/>
    <x v="6"/>
    <s v="MLA1384"/>
    <x v="1"/>
  </r>
  <r>
    <s v="MLA1223569894"/>
    <x v="108"/>
    <x v="136"/>
    <x v="127"/>
    <d v="2022-11-03T09:17:08"/>
    <x v="111"/>
    <x v="6"/>
    <s v="MLA1384"/>
    <x v="1"/>
  </r>
  <r>
    <s v="MLA18956615"/>
    <x v="109"/>
    <x v="137"/>
    <x v="128"/>
    <d v="2022-03-02T18:48:20"/>
    <x v="112"/>
    <x v="7"/>
    <s v="MLA1246"/>
    <x v="0"/>
  </r>
  <r>
    <s v="MLA18957818"/>
    <x v="110"/>
    <x v="138"/>
    <x v="129"/>
    <d v="2022-03-03T16:00:19"/>
    <x v="113"/>
    <x v="7"/>
    <s v="MLA1246"/>
    <x v="0"/>
  </r>
  <r>
    <s v="MLA18455278"/>
    <x v="111"/>
    <x v="139"/>
    <x v="130"/>
    <d v="2021-09-15T16:15:33"/>
    <x v="114"/>
    <x v="7"/>
    <s v="MLA1246"/>
    <x v="0"/>
  </r>
  <r>
    <s v="MLA16048275"/>
    <x v="112"/>
    <x v="140"/>
    <x v="131"/>
    <d v="2020-08-27T17:27:43"/>
    <x v="115"/>
    <x v="7"/>
    <s v="MLA1246"/>
    <x v="0"/>
  </r>
  <r>
    <s v="MLA17378222"/>
    <x v="113"/>
    <x v="141"/>
    <x v="132"/>
    <d v="2021-02-18T11:29:39"/>
    <x v="85"/>
    <x v="7"/>
    <s v="MLA1246"/>
    <x v="0"/>
  </r>
  <r>
    <s v="MLA15574680"/>
    <x v="114"/>
    <x v="142"/>
    <x v="133"/>
    <d v="2020-04-06T16:59:06"/>
    <x v="116"/>
    <x v="7"/>
    <s v="MLA1246"/>
    <x v="0"/>
  </r>
  <r>
    <s v="MLA6093959"/>
    <x v="115"/>
    <x v="143"/>
    <x v="134"/>
    <d v="2016-01-06T22:06:40"/>
    <x v="117"/>
    <x v="7"/>
    <s v="MLA1246"/>
    <x v="0"/>
  </r>
  <r>
    <s v="MLA18570164"/>
    <x v="116"/>
    <x v="144"/>
    <x v="135"/>
    <d v="2021-10-25T17:43:06"/>
    <x v="118"/>
    <x v="7"/>
    <s v="MLA1246"/>
    <x v="0"/>
  </r>
  <r>
    <s v="MLA20083342"/>
    <x v="117"/>
    <x v="145"/>
    <x v="136"/>
    <d v="2022-12-07T20:10:14"/>
    <x v="119"/>
    <x v="7"/>
    <s v="MLA1246"/>
    <x v="0"/>
  </r>
  <r>
    <s v="MLA19957366"/>
    <x v="118"/>
    <x v="146"/>
    <x v="137"/>
    <d v="2022-12-05T18:36:12"/>
    <x v="120"/>
    <x v="7"/>
    <s v="MLA1246"/>
    <x v="0"/>
  </r>
  <r>
    <s v="MLA19464946"/>
    <x v="119"/>
    <x v="147"/>
    <x v="138"/>
    <d v="2022-07-19T11:18:25"/>
    <x v="121"/>
    <x v="7"/>
    <s v="MLA1246"/>
    <x v="0"/>
  </r>
  <r>
    <s v="MLA19957364"/>
    <x v="120"/>
    <x v="148"/>
    <x v="139"/>
    <d v="2022-12-05T18:36:12"/>
    <x v="120"/>
    <x v="7"/>
    <s v="MLA1246"/>
    <x v="0"/>
  </r>
  <r>
    <s v="MLA23546366"/>
    <x v="121"/>
    <x v="149"/>
    <x v="140"/>
    <d v="2023-05-30T04:13:23"/>
    <x v="122"/>
    <x v="7"/>
    <s v="MLA1246"/>
    <x v="0"/>
  </r>
  <r>
    <s v="MLA18558523"/>
    <x v="122"/>
    <x v="150"/>
    <x v="141"/>
    <d v="2021-10-19T17:11:51"/>
    <x v="82"/>
    <x v="7"/>
    <s v="MLA1246"/>
    <x v="0"/>
  </r>
  <r>
    <s v="MLA19898755"/>
    <x v="123"/>
    <x v="151"/>
    <x v="142"/>
    <d v="2022-11-29T10:42:28"/>
    <x v="123"/>
    <x v="7"/>
    <s v="MLA1246"/>
    <x v="0"/>
  </r>
  <r>
    <s v="MLA22478213"/>
    <x v="124"/>
    <x v="152"/>
    <x v="143"/>
    <d v="2023-04-03T14:54:10"/>
    <x v="124"/>
    <x v="7"/>
    <s v="MLA1246"/>
    <x v="0"/>
  </r>
  <r>
    <s v="MLA19638909"/>
    <x v="125"/>
    <x v="153"/>
    <x v="144"/>
    <d v="2022-09-27T20:03:23"/>
    <x v="125"/>
    <x v="7"/>
    <s v="MLA1246"/>
    <x v="0"/>
  </r>
  <r>
    <s v="MLA19834660"/>
    <x v="126"/>
    <x v="154"/>
    <x v="145"/>
    <d v="2022-11-16T18:03:23"/>
    <x v="126"/>
    <x v="7"/>
    <s v="MLA1246"/>
    <x v="0"/>
  </r>
  <r>
    <s v="MLA1139044549"/>
    <x v="127"/>
    <x v="155"/>
    <x v="146"/>
    <d v="2022-05-26T12:47:40"/>
    <x v="127"/>
    <x v="7"/>
    <s v="MLA1246"/>
    <x v="1"/>
  </r>
  <r>
    <s v="MLA21773381"/>
    <x v="128"/>
    <x v="156"/>
    <x v="16"/>
    <d v="2023-02-16T14:50:39"/>
    <x v="128"/>
    <x v="7"/>
    <s v="MLA1246"/>
    <x v="0"/>
  </r>
  <r>
    <s v="MLA15285466"/>
    <x v="129"/>
    <x v="157"/>
    <x v="147"/>
    <d v="2019-12-12T17:50:15"/>
    <x v="129"/>
    <x v="8"/>
    <s v="MLA1051"/>
    <x v="0"/>
  </r>
  <r>
    <s v="MLA19031223"/>
    <x v="130"/>
    <x v="158"/>
    <x v="148"/>
    <d v="2022-03-31T19:36:50"/>
    <x v="130"/>
    <x v="8"/>
    <s v="MLA1051"/>
    <x v="0"/>
  </r>
  <r>
    <s v="MLA19174175"/>
    <x v="131"/>
    <x v="159"/>
    <x v="149"/>
    <d v="2022-06-22T12:14:38"/>
    <x v="131"/>
    <x v="8"/>
    <s v="MLA1051"/>
    <x v="0"/>
  </r>
  <r>
    <s v="MLA879465297"/>
    <x v="132"/>
    <x v="160"/>
    <x v="150"/>
    <d v="2020-09-18T17:23:15"/>
    <x v="132"/>
    <x v="8"/>
    <s v="MLA1051"/>
    <x v="1"/>
  </r>
  <r>
    <s v="MLA15916979"/>
    <x v="133"/>
    <x v="161"/>
    <x v="151"/>
    <d v="2020-07-20T12:29:09"/>
    <x v="22"/>
    <x v="8"/>
    <s v="MLA1051"/>
    <x v="0"/>
  </r>
  <r>
    <s v="MLA21024384"/>
    <x v="134"/>
    <x v="162"/>
    <x v="152"/>
    <d v="2023-01-04T16:24:20"/>
    <x v="133"/>
    <x v="8"/>
    <s v="MLA1051"/>
    <x v="0"/>
  </r>
  <r>
    <s v="MLA22262934"/>
    <x v="135"/>
    <x v="163"/>
    <x v="153"/>
    <d v="2023-03-14T20:02:54"/>
    <x v="48"/>
    <x v="8"/>
    <s v="MLA1051"/>
    <x v="0"/>
  </r>
  <r>
    <s v="MLA20630314"/>
    <x v="136"/>
    <x v="164"/>
    <x v="154"/>
    <d v="2022-12-12T20:27:18"/>
    <x v="134"/>
    <x v="8"/>
    <s v="MLA1051"/>
    <x v="0"/>
  </r>
  <r>
    <s v="MLA22827333"/>
    <x v="137"/>
    <x v="165"/>
    <x v="155"/>
    <d v="2023-04-24T19:45:19"/>
    <x v="135"/>
    <x v="8"/>
    <s v="MLA1051"/>
    <x v="0"/>
  </r>
  <r>
    <s v="MLA21361937"/>
    <x v="138"/>
    <x v="166"/>
    <x v="156"/>
    <d v="2023-01-26T19:11:24"/>
    <x v="136"/>
    <x v="8"/>
    <s v="MLA1051"/>
    <x v="0"/>
  </r>
  <r>
    <s v="MLA18924350"/>
    <x v="139"/>
    <x v="167"/>
    <x v="157"/>
    <d v="2022-02-07T15:21:08"/>
    <x v="57"/>
    <x v="8"/>
    <s v="MLA1051"/>
    <x v="0"/>
  </r>
  <r>
    <s v="MLA22296824"/>
    <x v="140"/>
    <x v="168"/>
    <x v="153"/>
    <d v="2023-03-18T19:13:37"/>
    <x v="137"/>
    <x v="8"/>
    <s v="MLA1051"/>
    <x v="0"/>
  </r>
  <r>
    <s v="MLA21433844"/>
    <x v="141"/>
    <x v="169"/>
    <x v="158"/>
    <d v="2023-01-30T08:23:15"/>
    <x v="138"/>
    <x v="8"/>
    <s v="MLA1051"/>
    <x v="0"/>
  </r>
  <r>
    <s v="MLA19878105"/>
    <x v="142"/>
    <x v="170"/>
    <x v="159"/>
    <d v="2022-11-21T19:03:01"/>
    <x v="99"/>
    <x v="8"/>
    <s v="MLA1051"/>
    <x v="0"/>
  </r>
  <r>
    <s v="MLA22592543"/>
    <x v="143"/>
    <x v="171"/>
    <x v="160"/>
    <d v="2023-04-14T20:39:05"/>
    <x v="46"/>
    <x v="8"/>
    <s v="MLA1051"/>
    <x v="0"/>
  </r>
  <r>
    <s v="MLA1255215426"/>
    <x v="127"/>
    <x v="172"/>
    <x v="161"/>
    <d v="2022-11-22T15:17:44"/>
    <x v="139"/>
    <x v="8"/>
    <s v="MLA1051"/>
    <x v="1"/>
  </r>
  <r>
    <s v="MLA22271351"/>
    <x v="144"/>
    <x v="173"/>
    <x v="162"/>
    <d v="2023-03-16T17:28:55"/>
    <x v="140"/>
    <x v="8"/>
    <s v="MLA1051"/>
    <x v="0"/>
  </r>
  <r>
    <s v="MLA18924351"/>
    <x v="145"/>
    <x v="174"/>
    <x v="157"/>
    <d v="2022-02-07T15:21:08"/>
    <x v="57"/>
    <x v="8"/>
    <s v="MLA1051"/>
    <x v="0"/>
  </r>
  <r>
    <s v="MLA1376583785"/>
    <x v="24"/>
    <x v="175"/>
    <x v="16"/>
    <d v="2023-07-10T19:07:01"/>
    <x v="141"/>
    <x v="8"/>
    <s v="MLA1051"/>
    <x v="1"/>
  </r>
  <r>
    <s v="MLA16224063"/>
    <x v="146"/>
    <x v="176"/>
    <x v="163"/>
    <d v="2020-11-05T10:24:10"/>
    <x v="142"/>
    <x v="9"/>
    <s v="MLA1648"/>
    <x v="0"/>
  </r>
  <r>
    <s v="MLA17978326"/>
    <x v="147"/>
    <x v="177"/>
    <x v="164"/>
    <d v="2021-05-28T15:04:12"/>
    <x v="75"/>
    <x v="9"/>
    <s v="MLA1648"/>
    <x v="0"/>
  </r>
  <r>
    <s v="MLA19035706"/>
    <x v="148"/>
    <x v="178"/>
    <x v="165"/>
    <d v="2022-04-05T10:35:22"/>
    <x v="143"/>
    <x v="9"/>
    <s v="MLA1648"/>
    <x v="0"/>
  </r>
  <r>
    <s v="MLA17360590"/>
    <x v="149"/>
    <x v="179"/>
    <x v="166"/>
    <d v="2021-02-04T17:22:35"/>
    <x v="144"/>
    <x v="9"/>
    <s v="MLA1648"/>
    <x v="0"/>
  </r>
  <r>
    <s v="MLA19733102"/>
    <x v="150"/>
    <x v="180"/>
    <x v="167"/>
    <d v="2022-10-26T16:53:38"/>
    <x v="145"/>
    <x v="9"/>
    <s v="MLA1648"/>
    <x v="0"/>
  </r>
  <r>
    <s v="MLA18610706"/>
    <x v="151"/>
    <x v="181"/>
    <x v="168"/>
    <d v="2021-11-11T16:19:34"/>
    <x v="146"/>
    <x v="9"/>
    <s v="MLA1648"/>
    <x v="0"/>
  </r>
  <r>
    <s v="MLA12661607"/>
    <x v="152"/>
    <x v="182"/>
    <x v="169"/>
    <d v="2018-11-12T17:35:05"/>
    <x v="147"/>
    <x v="9"/>
    <s v="MLA1648"/>
    <x v="0"/>
  </r>
  <r>
    <s v="MLA707010339"/>
    <x v="132"/>
    <x v="183"/>
    <x v="170"/>
    <d v="2018-02-09T20:27:13"/>
    <x v="134"/>
    <x v="9"/>
    <s v="MLA1648"/>
    <x v="1"/>
  </r>
  <r>
    <s v="MLA18570748"/>
    <x v="153"/>
    <x v="184"/>
    <x v="171"/>
    <d v="2021-10-26T09:54:03"/>
    <x v="148"/>
    <x v="9"/>
    <s v="MLA1648"/>
    <x v="0"/>
  </r>
  <r>
    <s v="MLA19901624"/>
    <x v="154"/>
    <x v="185"/>
    <x v="172"/>
    <d v="2022-11-29T18:37:34"/>
    <x v="149"/>
    <x v="9"/>
    <s v="MLA1648"/>
    <x v="0"/>
  </r>
  <r>
    <s v="MLA19814719"/>
    <x v="155"/>
    <x v="186"/>
    <x v="173"/>
    <d v="2022-11-12T01:01:05"/>
    <x v="150"/>
    <x v="9"/>
    <s v="MLA1648"/>
    <x v="0"/>
  </r>
  <r>
    <s v="MLA1140416399"/>
    <x v="156"/>
    <x v="187"/>
    <x v="174"/>
    <d v="2022-06-02T16:25:45"/>
    <x v="151"/>
    <x v="9"/>
    <s v="MLA1648"/>
    <x v="1"/>
  </r>
  <r>
    <s v="MLA19807863"/>
    <x v="157"/>
    <x v="188"/>
    <x v="175"/>
    <d v="2022-11-10T20:17:58"/>
    <x v="152"/>
    <x v="9"/>
    <s v="MLA1648"/>
    <x v="0"/>
  </r>
  <r>
    <s v="MLA20878150"/>
    <x v="158"/>
    <x v="189"/>
    <x v="176"/>
    <d v="2022-12-22T00:07:50"/>
    <x v="153"/>
    <x v="9"/>
    <s v="MLA1648"/>
    <x v="0"/>
  </r>
  <r>
    <s v="MLA623746040"/>
    <x v="10"/>
    <x v="190"/>
    <x v="177"/>
    <d v="2016-06-11T15:54:46"/>
    <x v="154"/>
    <x v="9"/>
    <s v="MLA1648"/>
    <x v="1"/>
  </r>
  <r>
    <s v="MLA616107124"/>
    <x v="10"/>
    <x v="191"/>
    <x v="178"/>
    <d v="2016-04-11T11:44:00"/>
    <x v="155"/>
    <x v="9"/>
    <s v="MLA1648"/>
    <x v="1"/>
  </r>
  <r>
    <s v="MLA615331086"/>
    <x v="10"/>
    <x v="192"/>
    <x v="179"/>
    <d v="2016-04-04T19:41:31"/>
    <x v="156"/>
    <x v="9"/>
    <s v="MLA1648"/>
    <x v="1"/>
  </r>
  <r>
    <s v="MLA1154161122"/>
    <x v="159"/>
    <x v="193"/>
    <x v="180"/>
    <d v="2022-08-17T14:40:50"/>
    <x v="157"/>
    <x v="9"/>
    <s v="MLA1648"/>
    <x v="1"/>
  </r>
  <r>
    <s v="MLA10295970"/>
    <x v="160"/>
    <x v="194"/>
    <x v="181"/>
    <d v="2018-08-01T16:51:58"/>
    <x v="24"/>
    <x v="10"/>
    <s v="MLA1144"/>
    <x v="0"/>
  </r>
  <r>
    <s v="MLA18638143"/>
    <x v="161"/>
    <x v="195"/>
    <x v="163"/>
    <d v="2021-12-07T11:51:47"/>
    <x v="158"/>
    <x v="10"/>
    <s v="MLA1144"/>
    <x v="0"/>
  </r>
  <r>
    <s v="MLA6304615"/>
    <x v="162"/>
    <x v="196"/>
    <x v="182"/>
    <d v="2017-01-23T14:31:29"/>
    <x v="159"/>
    <x v="10"/>
    <s v="MLA1144"/>
    <x v="0"/>
  </r>
  <r>
    <s v="MLA9406415"/>
    <x v="163"/>
    <x v="197"/>
    <x v="183"/>
    <d v="2018-05-24T16:52:10"/>
    <x v="61"/>
    <x v="10"/>
    <s v="MLA1144"/>
    <x v="0"/>
  </r>
  <r>
    <s v="MLA6304594"/>
    <x v="164"/>
    <x v="198"/>
    <x v="184"/>
    <d v="2017-01-23T14:31:27"/>
    <x v="159"/>
    <x v="10"/>
    <s v="MLA1144"/>
    <x v="0"/>
  </r>
  <r>
    <s v="MLA9406416"/>
    <x v="165"/>
    <x v="199"/>
    <x v="183"/>
    <d v="2018-05-24T16:52:10"/>
    <x v="61"/>
    <x v="10"/>
    <s v="MLA1144"/>
    <x v="0"/>
  </r>
  <r>
    <s v="MLA14966925"/>
    <x v="166"/>
    <x v="200"/>
    <x v="185"/>
    <d v="2019-07-19T11:15:35"/>
    <x v="160"/>
    <x v="10"/>
    <s v="MLA1144"/>
    <x v="0"/>
  </r>
  <r>
    <s v="MLA10295968"/>
    <x v="167"/>
    <x v="201"/>
    <x v="186"/>
    <d v="2018-08-01T16:51:57"/>
    <x v="24"/>
    <x v="10"/>
    <s v="MLA1144"/>
    <x v="0"/>
  </r>
  <r>
    <s v="MLA19540150"/>
    <x v="168"/>
    <x v="202"/>
    <x v="187"/>
    <d v="2022-08-18T22:10:53"/>
    <x v="161"/>
    <x v="10"/>
    <s v="MLA1144"/>
    <x v="0"/>
  </r>
  <r>
    <s v="MLA16268160"/>
    <x v="169"/>
    <x v="203"/>
    <x v="188"/>
    <d v="2020-11-20T11:20:12"/>
    <x v="162"/>
    <x v="10"/>
    <s v="MLA1144"/>
    <x v="0"/>
  </r>
  <r>
    <s v="MLA18010993"/>
    <x v="170"/>
    <x v="204"/>
    <x v="189"/>
    <d v="2021-05-31T12:22:45"/>
    <x v="163"/>
    <x v="10"/>
    <s v="MLA1144"/>
    <x v="0"/>
  </r>
  <r>
    <s v="MLA19540157"/>
    <x v="171"/>
    <x v="205"/>
    <x v="190"/>
    <d v="2022-08-18T22:10:54"/>
    <x v="161"/>
    <x v="10"/>
    <s v="MLA1144"/>
    <x v="0"/>
  </r>
  <r>
    <s v="MLA18010994"/>
    <x v="172"/>
    <x v="206"/>
    <x v="191"/>
    <d v="2021-05-31T12:22:45"/>
    <x v="163"/>
    <x v="10"/>
    <s v="MLA1144"/>
    <x v="0"/>
  </r>
  <r>
    <s v="MLA22743132"/>
    <x v="173"/>
    <x v="207"/>
    <x v="192"/>
    <d v="2023-04-19T17:58:15"/>
    <x v="66"/>
    <x v="10"/>
    <s v="MLA1144"/>
    <x v="0"/>
  </r>
  <r>
    <s v="MLA15246354"/>
    <x v="174"/>
    <x v="208"/>
    <x v="193"/>
    <d v="2019-11-21T16:13:50"/>
    <x v="164"/>
    <x v="10"/>
    <s v="MLA1144"/>
    <x v="0"/>
  </r>
  <r>
    <s v="MLA21212921"/>
    <x v="175"/>
    <x v="209"/>
    <x v="194"/>
    <d v="2023-01-17T17:24:03"/>
    <x v="165"/>
    <x v="10"/>
    <s v="MLA1144"/>
    <x v="0"/>
  </r>
  <r>
    <s v="MLA883071305"/>
    <x v="176"/>
    <x v="210"/>
    <x v="195"/>
    <d v="2020-10-08T16:37:54"/>
    <x v="79"/>
    <x v="10"/>
    <s v="MLA1144"/>
    <x v="1"/>
  </r>
  <r>
    <s v="MLA21646334"/>
    <x v="177"/>
    <x v="211"/>
    <x v="196"/>
    <d v="2023-02-06T02:06:24"/>
    <x v="166"/>
    <x v="10"/>
    <s v="MLA1144"/>
    <x v="0"/>
  </r>
  <r>
    <s v="MLA878200436"/>
    <x v="10"/>
    <x v="212"/>
    <x v="197"/>
    <d v="2020-09-11T17:47:50"/>
    <x v="167"/>
    <x v="10"/>
    <s v="MLA1144"/>
    <x v="1"/>
  </r>
  <r>
    <s v="MLA22145213"/>
    <x v="178"/>
    <x v="213"/>
    <x v="198"/>
    <d v="2023-03-10T23:53:26"/>
    <x v="168"/>
    <x v="10"/>
    <s v="MLA1144"/>
    <x v="0"/>
  </r>
  <r>
    <s v="MLA19687444"/>
    <x v="179"/>
    <x v="214"/>
    <x v="199"/>
    <d v="2022-10-12T15:27:51"/>
    <x v="169"/>
    <x v="11"/>
    <s v="MLA1500"/>
    <x v="0"/>
  </r>
  <r>
    <s v="MLA23521152"/>
    <x v="180"/>
    <x v="215"/>
    <x v="17"/>
    <d v="2023-05-29T04:34:47"/>
    <x v="170"/>
    <x v="11"/>
    <s v="MLA1500"/>
    <x v="0"/>
  </r>
  <r>
    <s v="MLA23075589"/>
    <x v="181"/>
    <x v="216"/>
    <x v="200"/>
    <d v="2023-05-06T15:30:04"/>
    <x v="81"/>
    <x v="11"/>
    <s v="MLA1500"/>
    <x v="0"/>
  </r>
  <r>
    <s v="MLA8283526"/>
    <x v="182"/>
    <x v="217"/>
    <x v="201"/>
    <d v="2017-10-19T11:18:13"/>
    <x v="121"/>
    <x v="11"/>
    <s v="MLA1500"/>
    <x v="0"/>
  </r>
  <r>
    <s v="MLA23508739"/>
    <x v="183"/>
    <x v="218"/>
    <x v="202"/>
    <d v="2023-05-28T21:16:57"/>
    <x v="171"/>
    <x v="11"/>
    <s v="MLA1500"/>
    <x v="0"/>
  </r>
  <r>
    <s v="MLA14020709"/>
    <x v="184"/>
    <x v="219"/>
    <x v="203"/>
    <d v="2019-02-15T17:54:26"/>
    <x v="172"/>
    <x v="11"/>
    <s v="MLA1500"/>
    <x v="0"/>
  </r>
  <r>
    <s v="MLA7984961"/>
    <x v="185"/>
    <x v="220"/>
    <x v="204"/>
    <d v="2017-09-18T13:18:30"/>
    <x v="173"/>
    <x v="11"/>
    <s v="MLA1500"/>
    <x v="0"/>
  </r>
  <r>
    <s v="MLA19469183"/>
    <x v="186"/>
    <x v="221"/>
    <x v="199"/>
    <d v="2022-07-20T19:02:30"/>
    <x v="103"/>
    <x v="11"/>
    <s v="MLA1500"/>
    <x v="0"/>
  </r>
  <r>
    <s v="MLA18620665"/>
    <x v="187"/>
    <x v="222"/>
    <x v="193"/>
    <d v="2021-11-23T14:15:37"/>
    <x v="174"/>
    <x v="11"/>
    <s v="MLA1500"/>
    <x v="0"/>
  </r>
  <r>
    <s v="MLA19686540"/>
    <x v="188"/>
    <x v="223"/>
    <x v="205"/>
    <d v="2022-10-11T17:05:08"/>
    <x v="175"/>
    <x v="11"/>
    <s v="MLA1500"/>
    <x v="0"/>
  </r>
  <r>
    <s v="MLA18620667"/>
    <x v="189"/>
    <x v="224"/>
    <x v="54"/>
    <d v="2021-11-23T14:15:37"/>
    <x v="174"/>
    <x v="11"/>
    <s v="MLA1500"/>
    <x v="0"/>
  </r>
  <r>
    <s v="MLA21420410"/>
    <x v="190"/>
    <x v="225"/>
    <x v="206"/>
    <d v="2023-01-29T08:29:02"/>
    <x v="176"/>
    <x v="11"/>
    <s v="MLA1500"/>
    <x v="0"/>
  </r>
  <r>
    <s v="MLA912291979"/>
    <x v="10"/>
    <x v="226"/>
    <x v="207"/>
    <d v="2021-03-17T12:33:22"/>
    <x v="177"/>
    <x v="11"/>
    <s v="MLA1500"/>
    <x v="1"/>
  </r>
  <r>
    <s v="MLA919314419"/>
    <x v="10"/>
    <x v="227"/>
    <x v="208"/>
    <d v="2021-05-05T18:00:56"/>
    <x v="178"/>
    <x v="11"/>
    <s v="MLA1500"/>
    <x v="1"/>
  </r>
  <r>
    <s v="MLA844127952"/>
    <x v="10"/>
    <x v="228"/>
    <x v="209"/>
    <d v="2020-03-16T15:35:35"/>
    <x v="179"/>
    <x v="11"/>
    <s v="MLA1500"/>
    <x v="1"/>
  </r>
  <r>
    <s v="MLA612385008"/>
    <x v="10"/>
    <x v="229"/>
    <x v="210"/>
    <d v="2016-03-18T19:44:28"/>
    <x v="180"/>
    <x v="11"/>
    <s v="MLA1500"/>
    <x v="1"/>
  </r>
  <r>
    <s v="MLA20020636"/>
    <x v="191"/>
    <x v="230"/>
    <x v="211"/>
    <d v="2022-12-07T10:49:40"/>
    <x v="181"/>
    <x v="11"/>
    <s v="MLA1500"/>
    <x v="0"/>
  </r>
  <r>
    <s v="MLA865336823"/>
    <x v="192"/>
    <x v="231"/>
    <x v="212"/>
    <d v="2020-06-30T14:22:08"/>
    <x v="182"/>
    <x v="11"/>
    <s v="MLA1500"/>
    <x v="1"/>
  </r>
  <r>
    <s v="MLA22607099"/>
    <x v="193"/>
    <x v="232"/>
    <x v="213"/>
    <d v="2023-04-15T14:37:42"/>
    <x v="183"/>
    <x v="11"/>
    <s v="MLA1500"/>
    <x v="0"/>
  </r>
  <r>
    <s v="MLA1230811683"/>
    <x v="24"/>
    <x v="233"/>
    <x v="214"/>
    <d v="2022-11-08T15:34:40"/>
    <x v="107"/>
    <x v="11"/>
    <s v="MLA1500"/>
    <x v="1"/>
  </r>
  <r>
    <s v="MLA15703578"/>
    <x v="194"/>
    <x v="234"/>
    <x v="215"/>
    <d v="2020-04-30T15:29:23"/>
    <x v="184"/>
    <x v="12"/>
    <s v="MLA1039"/>
    <x v="0"/>
  </r>
  <r>
    <s v="MLA15233711"/>
    <x v="195"/>
    <x v="235"/>
    <x v="162"/>
    <d v="2019-11-11T16:27:39"/>
    <x v="90"/>
    <x v="12"/>
    <s v="MLA1039"/>
    <x v="0"/>
  </r>
  <r>
    <s v="MLA15161567"/>
    <x v="196"/>
    <x v="236"/>
    <x v="216"/>
    <d v="2019-09-27T18:01:15"/>
    <x v="28"/>
    <x v="12"/>
    <s v="MLA1039"/>
    <x v="0"/>
  </r>
  <r>
    <s v="MLA8859356"/>
    <x v="197"/>
    <x v="237"/>
    <x v="217"/>
    <d v="2018-01-17T09:31:30"/>
    <x v="67"/>
    <x v="12"/>
    <s v="MLA1039"/>
    <x v="0"/>
  </r>
  <r>
    <s v="MLA11547168"/>
    <x v="198"/>
    <x v="238"/>
    <x v="218"/>
    <d v="2018-09-28T17:37:50"/>
    <x v="185"/>
    <x v="12"/>
    <s v="MLA1039"/>
    <x v="0"/>
  </r>
  <r>
    <s v="MLA11547167"/>
    <x v="199"/>
    <x v="239"/>
    <x v="219"/>
    <d v="2018-09-28T17:37:50"/>
    <x v="185"/>
    <x v="12"/>
    <s v="MLA1039"/>
    <x v="0"/>
  </r>
  <r>
    <s v="MLA16212672"/>
    <x v="200"/>
    <x v="240"/>
    <x v="220"/>
    <d v="2020-10-30T18:03:04"/>
    <x v="126"/>
    <x v="12"/>
    <s v="MLA1039"/>
    <x v="0"/>
  </r>
  <r>
    <s v="MLA15698717"/>
    <x v="201"/>
    <x v="241"/>
    <x v="221"/>
    <d v="2020-04-27T09:50:28"/>
    <x v="186"/>
    <x v="12"/>
    <s v="MLA1039"/>
    <x v="0"/>
  </r>
  <r>
    <s v="MLA17972659"/>
    <x v="202"/>
    <x v="242"/>
    <x v="222"/>
    <d v="2021-05-26T12:18:41"/>
    <x v="187"/>
    <x v="12"/>
    <s v="MLA1039"/>
    <x v="0"/>
  </r>
  <r>
    <s v="MLA815795624"/>
    <x v="10"/>
    <x v="243"/>
    <x v="4"/>
    <d v="2019-09-19T15:45:15"/>
    <x v="188"/>
    <x v="12"/>
    <s v="MLA1039"/>
    <x v="1"/>
  </r>
  <r>
    <s v="MLA14128844"/>
    <x v="203"/>
    <x v="244"/>
    <x v="223"/>
    <d v="2019-02-28T12:18:38"/>
    <x v="187"/>
    <x v="12"/>
    <s v="MLA1039"/>
    <x v="0"/>
  </r>
  <r>
    <s v="MLA22935572"/>
    <x v="204"/>
    <x v="245"/>
    <x v="224"/>
    <d v="2023-04-28T18:22:08"/>
    <x v="189"/>
    <x v="12"/>
    <s v="MLA1039"/>
    <x v="0"/>
  </r>
  <r>
    <s v="MLA22339984"/>
    <x v="205"/>
    <x v="246"/>
    <x v="225"/>
    <d v="2023-03-23T09:46:58"/>
    <x v="72"/>
    <x v="12"/>
    <s v="MLA1039"/>
    <x v="0"/>
  </r>
  <r>
    <s v="MLA904937043"/>
    <x v="206"/>
    <x v="247"/>
    <x v="226"/>
    <d v="2021-01-20T11:21:47"/>
    <x v="190"/>
    <x v="12"/>
    <s v="MLA1039"/>
    <x v="1"/>
  </r>
  <r>
    <s v="MLA1133877904"/>
    <x v="24"/>
    <x v="248"/>
    <x v="227"/>
    <d v="2022-04-25T19:59:30"/>
    <x v="191"/>
    <x v="12"/>
    <s v="MLA1039"/>
    <x v="1"/>
  </r>
  <r>
    <s v="MLA1104560283"/>
    <x v="24"/>
    <x v="249"/>
    <x v="228"/>
    <d v="2021-09-22T13:42:00"/>
    <x v="192"/>
    <x v="12"/>
    <s v="MLA1039"/>
    <x v="1"/>
  </r>
  <r>
    <s v="MLA908002957"/>
    <x v="24"/>
    <x v="250"/>
    <x v="229"/>
    <d v="2021-02-11T12:12:51"/>
    <x v="193"/>
    <x v="12"/>
    <s v="MLA1039"/>
    <x v="1"/>
  </r>
  <r>
    <s v="MLA629983603"/>
    <x v="24"/>
    <x v="251"/>
    <x v="230"/>
    <d v="2016-08-03T12:27:45"/>
    <x v="194"/>
    <x v="12"/>
    <s v="MLA1039"/>
    <x v="1"/>
  </r>
  <r>
    <s v="MLA883032632"/>
    <x v="24"/>
    <x v="252"/>
    <x v="231"/>
    <d v="2020-10-08T13:39:38"/>
    <x v="195"/>
    <x v="12"/>
    <s v="MLA1039"/>
    <x v="1"/>
  </r>
  <r>
    <s v="MLA1204876086"/>
    <x v="25"/>
    <x v="253"/>
    <x v="232"/>
    <d v="2022-10-20T19:48:28"/>
    <x v="196"/>
    <x v="12"/>
    <s v="MLA1039"/>
    <x v="1"/>
  </r>
  <r>
    <s v="MLA15297106"/>
    <x v="207"/>
    <x v="254"/>
    <x v="233"/>
    <d v="2019-12-19T11:47:16"/>
    <x v="197"/>
    <x v="13"/>
    <s v="MLA1276"/>
    <x v="0"/>
  </r>
  <r>
    <s v="MLA18535197"/>
    <x v="208"/>
    <x v="255"/>
    <x v="234"/>
    <d v="2021-10-12T13:33:48"/>
    <x v="198"/>
    <x v="13"/>
    <s v="MLA1276"/>
    <x v="0"/>
  </r>
  <r>
    <s v="MLA18623215"/>
    <x v="209"/>
    <x v="256"/>
    <x v="235"/>
    <d v="2021-11-24T11:50:52"/>
    <x v="199"/>
    <x v="13"/>
    <s v="MLA1276"/>
    <x v="0"/>
  </r>
  <r>
    <s v="MLA14287435"/>
    <x v="210"/>
    <x v="257"/>
    <x v="236"/>
    <d v="2019-03-22T16:49:34"/>
    <x v="200"/>
    <x v="13"/>
    <s v="MLA1276"/>
    <x v="0"/>
  </r>
  <r>
    <s v="MLA18907230"/>
    <x v="211"/>
    <x v="258"/>
    <x v="237"/>
    <d v="2022-01-25T12:12:18"/>
    <x v="193"/>
    <x v="13"/>
    <s v="MLA1276"/>
    <x v="0"/>
  </r>
  <r>
    <s v="MLA14287437"/>
    <x v="212"/>
    <x v="259"/>
    <x v="238"/>
    <d v="2019-03-22T16:49:34"/>
    <x v="200"/>
    <x v="13"/>
    <s v="MLA1276"/>
    <x v="0"/>
  </r>
  <r>
    <s v="MLA14287436"/>
    <x v="213"/>
    <x v="260"/>
    <x v="236"/>
    <d v="2019-03-22T16:49:34"/>
    <x v="200"/>
    <x v="13"/>
    <s v="MLA1276"/>
    <x v="0"/>
  </r>
  <r>
    <s v="MLA18444641"/>
    <x v="214"/>
    <x v="261"/>
    <x v="239"/>
    <d v="2021-09-10T15:05:32"/>
    <x v="201"/>
    <x v="13"/>
    <s v="MLA1276"/>
    <x v="0"/>
  </r>
  <r>
    <s v="MLA21349641"/>
    <x v="215"/>
    <x v="262"/>
    <x v="79"/>
    <d v="2023-01-25T14:35:06"/>
    <x v="80"/>
    <x v="13"/>
    <s v="MLA1276"/>
    <x v="0"/>
  </r>
  <r>
    <s v="MLA14178541"/>
    <x v="216"/>
    <x v="263"/>
    <x v="240"/>
    <d v="2019-03-12T11:49:55"/>
    <x v="202"/>
    <x v="13"/>
    <s v="MLA1276"/>
    <x v="0"/>
  </r>
  <r>
    <s v="MLA19545810"/>
    <x v="217"/>
    <x v="264"/>
    <x v="241"/>
    <d v="2022-08-19T20:05:49"/>
    <x v="203"/>
    <x v="13"/>
    <s v="MLA1276"/>
    <x v="0"/>
  </r>
  <r>
    <s v="MLA13283558"/>
    <x v="218"/>
    <x v="265"/>
    <x v="242"/>
    <d v="2018-12-11T17:05:01"/>
    <x v="175"/>
    <x v="13"/>
    <s v="MLA1276"/>
    <x v="0"/>
  </r>
  <r>
    <s v="MLA19544897"/>
    <x v="219"/>
    <x v="266"/>
    <x v="243"/>
    <d v="2022-08-19T20:05:21"/>
    <x v="203"/>
    <x v="13"/>
    <s v="MLA1276"/>
    <x v="0"/>
  </r>
  <r>
    <s v="MLA934848082"/>
    <x v="220"/>
    <x v="267"/>
    <x v="37"/>
    <d v="2021-08-18T14:41:28"/>
    <x v="204"/>
    <x v="13"/>
    <s v="MLA1276"/>
    <x v="1"/>
  </r>
  <r>
    <s v="MLA1160380784"/>
    <x v="221"/>
    <x v="268"/>
    <x v="244"/>
    <d v="2022-08-30T15:35:17"/>
    <x v="179"/>
    <x v="13"/>
    <s v="MLA1276"/>
    <x v="1"/>
  </r>
  <r>
    <s v="MLA795312113"/>
    <x v="222"/>
    <x v="269"/>
    <x v="245"/>
    <d v="2019-06-26T15:15:39"/>
    <x v="205"/>
    <x v="13"/>
    <s v="MLA1276"/>
    <x v="1"/>
  </r>
  <r>
    <s v="MLA636233361"/>
    <x v="13"/>
    <x v="270"/>
    <x v="246"/>
    <d v="2016-09-23T17:22:35"/>
    <x v="144"/>
    <x v="13"/>
    <s v="MLA1276"/>
    <x v="1"/>
  </r>
  <r>
    <s v="MLA19157222"/>
    <x v="223"/>
    <x v="271"/>
    <x v="247"/>
    <d v="2022-06-14T16:57:14"/>
    <x v="206"/>
    <x v="13"/>
    <s v="MLA1276"/>
    <x v="0"/>
  </r>
  <r>
    <s v="MLA1381682096"/>
    <x v="24"/>
    <x v="272"/>
    <x v="248"/>
    <d v="2023-03-28T11:33:08"/>
    <x v="207"/>
    <x v="13"/>
    <s v="MLA1276"/>
    <x v="1"/>
  </r>
  <r>
    <s v="MLA19446059"/>
    <x v="224"/>
    <x v="273"/>
    <x v="249"/>
    <d v="2022-07-08T19:03:15"/>
    <x v="99"/>
    <x v="14"/>
    <s v="MLA5726"/>
    <x v="0"/>
  </r>
  <r>
    <s v="MLA21239613"/>
    <x v="225"/>
    <x v="274"/>
    <x v="250"/>
    <d v="2023-01-18T09:52:50"/>
    <x v="208"/>
    <x v="14"/>
    <s v="MLA5726"/>
    <x v="0"/>
  </r>
  <r>
    <s v="MLA16113594"/>
    <x v="226"/>
    <x v="275"/>
    <x v="251"/>
    <d v="2020-09-24T13:02:37"/>
    <x v="209"/>
    <x v="14"/>
    <s v="MLA5726"/>
    <x v="0"/>
  </r>
  <r>
    <s v="MLA19850022"/>
    <x v="227"/>
    <x v="276"/>
    <x v="252"/>
    <d v="2022-11-17T00:01:42"/>
    <x v="210"/>
    <x v="14"/>
    <s v="MLA5726"/>
    <x v="0"/>
  </r>
  <r>
    <s v="MLA19875977"/>
    <x v="228"/>
    <x v="277"/>
    <x v="253"/>
    <d v="2022-11-21T18:42:59"/>
    <x v="211"/>
    <x v="14"/>
    <s v="MLA5726"/>
    <x v="0"/>
  </r>
  <r>
    <s v="MLA17423717"/>
    <x v="229"/>
    <x v="278"/>
    <x v="254"/>
    <d v="2021-03-01T12:54:39"/>
    <x v="212"/>
    <x v="14"/>
    <s v="MLA5726"/>
    <x v="0"/>
  </r>
  <r>
    <s v="MLA19479632"/>
    <x v="230"/>
    <x v="279"/>
    <x v="255"/>
    <d v="2022-07-28T16:32:37"/>
    <x v="58"/>
    <x v="14"/>
    <s v="MLA5726"/>
    <x v="0"/>
  </r>
  <r>
    <s v="MLA791696367"/>
    <x v="231"/>
    <x v="280"/>
    <x v="256"/>
    <d v="2019-06-10T11:09:21"/>
    <x v="213"/>
    <x v="14"/>
    <s v="MLA5726"/>
    <x v="1"/>
  </r>
  <r>
    <s v="MLA15705811"/>
    <x v="232"/>
    <x v="281"/>
    <x v="257"/>
    <d v="2020-05-04T11:49:47"/>
    <x v="202"/>
    <x v="14"/>
    <s v="MLA5726"/>
    <x v="0"/>
  </r>
  <r>
    <s v="MLA15940360"/>
    <x v="233"/>
    <x v="282"/>
    <x v="258"/>
    <d v="2020-07-22T16:05:53"/>
    <x v="214"/>
    <x v="14"/>
    <s v="MLA5726"/>
    <x v="0"/>
  </r>
  <r>
    <s v="MLA19446114"/>
    <x v="234"/>
    <x v="283"/>
    <x v="259"/>
    <d v="2022-07-08T19:03:29"/>
    <x v="99"/>
    <x v="14"/>
    <s v="MLA5726"/>
    <x v="0"/>
  </r>
  <r>
    <s v="MLA19742639"/>
    <x v="235"/>
    <x v="284"/>
    <x v="260"/>
    <d v="2022-10-27T18:08:55"/>
    <x v="106"/>
    <x v="14"/>
    <s v="MLA5726"/>
    <x v="0"/>
  </r>
  <r>
    <s v="MLA19712293"/>
    <x v="236"/>
    <x v="285"/>
    <x v="168"/>
    <d v="2022-10-25T10:03:11"/>
    <x v="215"/>
    <x v="14"/>
    <s v="MLA5726"/>
    <x v="0"/>
  </r>
  <r>
    <s v="MLA19888818"/>
    <x v="237"/>
    <x v="286"/>
    <x v="261"/>
    <d v="2022-11-24T21:22:20"/>
    <x v="216"/>
    <x v="14"/>
    <s v="MLA5726"/>
    <x v="0"/>
  </r>
  <r>
    <s v="MLA17435388"/>
    <x v="238"/>
    <x v="287"/>
    <x v="262"/>
    <d v="2021-03-04T17:16:55"/>
    <x v="217"/>
    <x v="14"/>
    <s v="MLA5726"/>
    <x v="0"/>
  </r>
  <r>
    <s v="MLA22938752"/>
    <x v="222"/>
    <x v="288"/>
    <x v="263"/>
    <d v="2023-04-28T19:45:23"/>
    <x v="135"/>
    <x v="14"/>
    <s v="MLA5726"/>
    <x v="0"/>
  </r>
  <r>
    <s v="MLA20027461"/>
    <x v="239"/>
    <x v="289"/>
    <x v="264"/>
    <d v="2022-12-07T10:53:08"/>
    <x v="218"/>
    <x v="14"/>
    <s v="MLA5726"/>
    <x v="0"/>
  </r>
  <r>
    <s v="MLA22485535"/>
    <x v="240"/>
    <x v="290"/>
    <x v="265"/>
    <d v="2023-04-04T19:32:13"/>
    <x v="219"/>
    <x v="14"/>
    <s v="MLA5726"/>
    <x v="0"/>
  </r>
  <r>
    <s v="MLA1100029764"/>
    <x v="24"/>
    <x v="291"/>
    <x v="266"/>
    <d v="2021-07-07T11:19:52"/>
    <x v="220"/>
    <x v="14"/>
    <s v="MLA5726"/>
    <x v="1"/>
  </r>
  <r>
    <s v="MLA18592846"/>
    <x v="241"/>
    <x v="292"/>
    <x v="267"/>
    <d v="2021-11-02T10:36:50"/>
    <x v="55"/>
    <x v="15"/>
    <s v="MLA1000"/>
    <x v="0"/>
  </r>
  <r>
    <s v="MLA16220264"/>
    <x v="242"/>
    <x v="293"/>
    <x v="268"/>
    <d v="2020-11-04T10:33:17"/>
    <x v="221"/>
    <x v="15"/>
    <s v="MLA1000"/>
    <x v="0"/>
  </r>
  <r>
    <s v="MLA17546621"/>
    <x v="243"/>
    <x v="294"/>
    <x v="269"/>
    <d v="2021-03-30T12:02:10"/>
    <x v="20"/>
    <x v="15"/>
    <s v="MLA1000"/>
    <x v="0"/>
  </r>
  <r>
    <s v="MLA19835705"/>
    <x v="244"/>
    <x v="295"/>
    <x v="270"/>
    <d v="2022-11-16T18:05:08"/>
    <x v="222"/>
    <x v="15"/>
    <s v="MLA1000"/>
    <x v="0"/>
  </r>
  <r>
    <s v="MLA19470849"/>
    <x v="245"/>
    <x v="296"/>
    <x v="271"/>
    <d v="2022-07-22T19:02:46"/>
    <x v="103"/>
    <x v="15"/>
    <s v="MLA1000"/>
    <x v="0"/>
  </r>
  <r>
    <s v="MLA16141858"/>
    <x v="246"/>
    <x v="297"/>
    <x v="272"/>
    <d v="2020-10-05T12:39:10"/>
    <x v="223"/>
    <x v="15"/>
    <s v="MLA1000"/>
    <x v="0"/>
  </r>
  <r>
    <s v="MLA18502601"/>
    <x v="247"/>
    <x v="298"/>
    <x v="273"/>
    <d v="2021-09-29T10:01:22"/>
    <x v="224"/>
    <x v="15"/>
    <s v="MLA1000"/>
    <x v="0"/>
  </r>
  <r>
    <s v="MLA21237756"/>
    <x v="248"/>
    <x v="299"/>
    <x v="274"/>
    <d v="2023-01-18T09:25:28"/>
    <x v="225"/>
    <x v="15"/>
    <s v="MLA1000"/>
    <x v="0"/>
  </r>
  <r>
    <s v="MLA19480442"/>
    <x v="249"/>
    <x v="300"/>
    <x v="275"/>
    <d v="2022-07-28T22:16:19"/>
    <x v="226"/>
    <x v="15"/>
    <s v="MLA1000"/>
    <x v="0"/>
  </r>
  <r>
    <s v="MLA19870097"/>
    <x v="250"/>
    <x v="301"/>
    <x v="276"/>
    <d v="2022-11-19T18:41:23"/>
    <x v="227"/>
    <x v="15"/>
    <s v="MLA1000"/>
    <x v="0"/>
  </r>
  <r>
    <s v="MLA19469208"/>
    <x v="251"/>
    <x v="302"/>
    <x v="277"/>
    <d v="2022-07-20T19:02:37"/>
    <x v="103"/>
    <x v="15"/>
    <s v="MLA1000"/>
    <x v="0"/>
  </r>
  <r>
    <s v="MLA20012630"/>
    <x v="252"/>
    <x v="303"/>
    <x v="278"/>
    <d v="2022-12-07T10:45:03"/>
    <x v="228"/>
    <x v="15"/>
    <s v="MLA1000"/>
    <x v="0"/>
  </r>
  <r>
    <s v="MLA1172498468"/>
    <x v="10"/>
    <x v="304"/>
    <x v="279"/>
    <d v="2022-09-20T14:54:09"/>
    <x v="124"/>
    <x v="15"/>
    <s v="MLA1000"/>
    <x v="1"/>
  </r>
  <r>
    <s v="MLA1379549590"/>
    <x v="10"/>
    <x v="305"/>
    <x v="280"/>
    <d v="2023-03-24T18:33:30"/>
    <x v="229"/>
    <x v="15"/>
    <s v="MLA1000"/>
    <x v="1"/>
  </r>
  <r>
    <s v="MLA6067073"/>
    <x v="253"/>
    <x v="306"/>
    <x v="281"/>
    <d v="2015-08-03T13:17:46"/>
    <x v="230"/>
    <x v="16"/>
    <s v="MLA407134"/>
    <x v="0"/>
  </r>
  <r>
    <s v="MLA6066998"/>
    <x v="254"/>
    <x v="307"/>
    <x v="213"/>
    <d v="2015-08-03T13:17:35"/>
    <x v="230"/>
    <x v="16"/>
    <s v="MLA407134"/>
    <x v="0"/>
  </r>
  <r>
    <s v="MLA15733608"/>
    <x v="255"/>
    <x v="308"/>
    <x v="282"/>
    <d v="2020-05-20T14:27:20"/>
    <x v="231"/>
    <x v="16"/>
    <s v="MLA407134"/>
    <x v="0"/>
  </r>
  <r>
    <s v="MLA10066694"/>
    <x v="256"/>
    <x v="309"/>
    <x v="283"/>
    <d v="2018-07-18T18:13:40"/>
    <x v="4"/>
    <x v="16"/>
    <s v="MLA407134"/>
    <x v="0"/>
  </r>
  <r>
    <s v="MLA15051059"/>
    <x v="257"/>
    <x v="310"/>
    <x v="284"/>
    <d v="2019-08-09T16:59:19"/>
    <x v="116"/>
    <x v="16"/>
    <s v="MLA407134"/>
    <x v="0"/>
  </r>
  <r>
    <s v="MLA15567404"/>
    <x v="258"/>
    <x v="311"/>
    <x v="285"/>
    <d v="2020-04-01T19:31:49"/>
    <x v="232"/>
    <x v="16"/>
    <s v="MLA407134"/>
    <x v="0"/>
  </r>
  <r>
    <s v="MLA19695353"/>
    <x v="259"/>
    <x v="312"/>
    <x v="286"/>
    <d v="2022-10-18T15:47:08"/>
    <x v="233"/>
    <x v="16"/>
    <s v="MLA407134"/>
    <x v="0"/>
  </r>
  <r>
    <s v="MLA23577605"/>
    <x v="260"/>
    <x v="313"/>
    <x v="287"/>
    <d v="2023-05-31T15:20:50"/>
    <x v="234"/>
    <x v="16"/>
    <s v="MLA407134"/>
    <x v="0"/>
  </r>
  <r>
    <s v="MLA15805438"/>
    <x v="261"/>
    <x v="314"/>
    <x v="288"/>
    <d v="2020-06-22T18:53:53"/>
    <x v="235"/>
    <x v="16"/>
    <s v="MLA407134"/>
    <x v="0"/>
  </r>
  <r>
    <s v="MLA18280080"/>
    <x v="262"/>
    <x v="315"/>
    <x v="34"/>
    <d v="2021-07-15T09:52:44"/>
    <x v="208"/>
    <x v="16"/>
    <s v="MLA407134"/>
    <x v="0"/>
  </r>
  <r>
    <s v="MLA15829516"/>
    <x v="263"/>
    <x v="316"/>
    <x v="289"/>
    <d v="2020-07-01T12:45:59"/>
    <x v="236"/>
    <x v="16"/>
    <s v="MLA407134"/>
    <x v="0"/>
  </r>
  <r>
    <s v="MLA9300629"/>
    <x v="264"/>
    <x v="317"/>
    <x v="290"/>
    <d v="2018-05-08T17:30:27"/>
    <x v="237"/>
    <x v="16"/>
    <s v="MLA407134"/>
    <x v="0"/>
  </r>
  <r>
    <s v="MLA1432580188"/>
    <x v="10"/>
    <x v="318"/>
    <x v="291"/>
    <d v="2023-06-13T23:28:35"/>
    <x v="238"/>
    <x v="16"/>
    <s v="MLA407134"/>
    <x v="1"/>
  </r>
  <r>
    <s v="MLA929698613"/>
    <x v="10"/>
    <x v="319"/>
    <x v="17"/>
    <d v="2021-07-16T10:24:49"/>
    <x v="142"/>
    <x v="16"/>
    <s v="MLA407134"/>
    <x v="1"/>
  </r>
  <r>
    <s v="MLA20543679"/>
    <x v="265"/>
    <x v="320"/>
    <x v="292"/>
    <d v="2022-12-09T22:00:44"/>
    <x v="239"/>
    <x v="16"/>
    <s v="MLA407134"/>
    <x v="0"/>
  </r>
  <r>
    <s v="MLA22625842"/>
    <x v="266"/>
    <x v="321"/>
    <x v="293"/>
    <d v="2023-04-16T22:16:44"/>
    <x v="226"/>
    <x v="16"/>
    <s v="MLA407134"/>
    <x v="0"/>
  </r>
  <r>
    <s v="MLA22844568"/>
    <x v="267"/>
    <x v="322"/>
    <x v="28"/>
    <d v="2023-04-26T09:28:35"/>
    <x v="240"/>
    <x v="16"/>
    <s v="MLA407134"/>
    <x v="0"/>
  </r>
  <r>
    <s v="MLA1128933837"/>
    <x v="24"/>
    <x v="323"/>
    <x v="253"/>
    <d v="2022-03-23T17:30:04"/>
    <x v="237"/>
    <x v="16"/>
    <s v="MLA407134"/>
    <x v="1"/>
  </r>
  <r>
    <s v="MLA1465265738"/>
    <x v="25"/>
    <x v="324"/>
    <x v="294"/>
    <d v="2023-08-02T23:44:27"/>
    <x v="241"/>
    <x v="16"/>
    <s v="MLA407134"/>
    <x v="1"/>
  </r>
  <r>
    <s v="MLA16009102"/>
    <x v="268"/>
    <x v="325"/>
    <x v="295"/>
    <d v="2020-08-13T12:50:14"/>
    <x v="242"/>
    <x v="17"/>
    <s v="MLA1574"/>
    <x v="0"/>
  </r>
  <r>
    <s v="MLA18432235"/>
    <x v="269"/>
    <x v="326"/>
    <x v="296"/>
    <d v="2021-09-08T10:38:12"/>
    <x v="243"/>
    <x v="17"/>
    <s v="MLA1574"/>
    <x v="0"/>
  </r>
  <r>
    <s v="MLA18635106"/>
    <x v="270"/>
    <x v="327"/>
    <x v="297"/>
    <d v="2021-12-03T16:57:00"/>
    <x v="206"/>
    <x v="17"/>
    <s v="MLA1574"/>
    <x v="0"/>
  </r>
  <r>
    <s v="MLA19638753"/>
    <x v="271"/>
    <x v="328"/>
    <x v="298"/>
    <d v="2022-09-27T19:03:33"/>
    <x v="99"/>
    <x v="17"/>
    <s v="MLA1574"/>
    <x v="0"/>
  </r>
  <r>
    <s v="MLA16060760"/>
    <x v="272"/>
    <x v="329"/>
    <x v="299"/>
    <d v="2020-09-02T15:04:42"/>
    <x v="75"/>
    <x v="17"/>
    <s v="MLA1574"/>
    <x v="0"/>
  </r>
  <r>
    <s v="MLA912468361"/>
    <x v="132"/>
    <x v="330"/>
    <x v="300"/>
    <d v="2021-03-18T14:02:26"/>
    <x v="244"/>
    <x v="17"/>
    <s v="MLA1574"/>
    <x v="1"/>
  </r>
  <r>
    <s v="MLA700133917"/>
    <x v="273"/>
    <x v="331"/>
    <x v="301"/>
    <d v="2018-01-03T00:15:00"/>
    <x v="245"/>
    <x v="17"/>
    <s v="MLA1574"/>
    <x v="1"/>
  </r>
  <r>
    <s v="MLA23159642"/>
    <x v="274"/>
    <x v="332"/>
    <x v="302"/>
    <d v="2023-05-11T00:41:41"/>
    <x v="246"/>
    <x v="17"/>
    <s v="MLA1574"/>
    <x v="0"/>
  </r>
  <r>
    <s v="MLA16113646"/>
    <x v="275"/>
    <x v="333"/>
    <x v="303"/>
    <d v="2020-09-24T13:06:04"/>
    <x v="247"/>
    <x v="17"/>
    <s v="MLA1574"/>
    <x v="0"/>
  </r>
  <r>
    <s v="MLA21319314"/>
    <x v="276"/>
    <x v="334"/>
    <x v="304"/>
    <d v="2023-01-24T18:38:02"/>
    <x v="248"/>
    <x v="17"/>
    <s v="MLA1574"/>
    <x v="0"/>
  </r>
  <r>
    <s v="MLA860876945"/>
    <x v="277"/>
    <x v="335"/>
    <x v="305"/>
    <d v="2020-06-07T22:39:36"/>
    <x v="249"/>
    <x v="17"/>
    <s v="MLA1574"/>
    <x v="1"/>
  </r>
  <r>
    <s v="MLA18533622"/>
    <x v="278"/>
    <x v="336"/>
    <x v="306"/>
    <d v="2021-10-12T11:07:22"/>
    <x v="250"/>
    <x v="17"/>
    <s v="MLA1574"/>
    <x v="0"/>
  </r>
  <r>
    <s v="MLA857102339"/>
    <x v="279"/>
    <x v="337"/>
    <x v="307"/>
    <d v="2020-05-21T22:11:14"/>
    <x v="251"/>
    <x v="17"/>
    <s v="MLA1574"/>
    <x v="1"/>
  </r>
  <r>
    <s v="MLA1121556829"/>
    <x v="10"/>
    <x v="338"/>
    <x v="308"/>
    <d v="2022-02-01T08:37:11"/>
    <x v="252"/>
    <x v="17"/>
    <s v="MLA1574"/>
    <x v="1"/>
  </r>
  <r>
    <s v="MLA618304618"/>
    <x v="10"/>
    <x v="339"/>
    <x v="309"/>
    <d v="2016-04-28T13:37:00"/>
    <x v="253"/>
    <x v="17"/>
    <s v="MLA1574"/>
    <x v="1"/>
  </r>
  <r>
    <s v="MLA20670190"/>
    <x v="280"/>
    <x v="340"/>
    <x v="310"/>
    <d v="2022-12-14T02:28:46"/>
    <x v="254"/>
    <x v="17"/>
    <s v="MLA1574"/>
    <x v="0"/>
  </r>
  <r>
    <s v="MLA1119111954"/>
    <x v="281"/>
    <x v="341"/>
    <x v="198"/>
    <d v="2022-01-12T11:15:12"/>
    <x v="160"/>
    <x v="17"/>
    <s v="MLA1574"/>
    <x v="1"/>
  </r>
  <r>
    <s v="MLA1418706080"/>
    <x v="24"/>
    <x v="342"/>
    <x v="311"/>
    <d v="2023-05-17T12:25:06"/>
    <x v="255"/>
    <x v="17"/>
    <s v="MLA1574"/>
    <x v="1"/>
  </r>
  <r>
    <s v="MLA15469413"/>
    <x v="282"/>
    <x v="343"/>
    <x v="312"/>
    <d v="2020-02-11T10:17:11"/>
    <x v="109"/>
    <x v="18"/>
    <s v="MLA1499"/>
    <x v="0"/>
  </r>
  <r>
    <s v="MLA857184813"/>
    <x v="283"/>
    <x v="344"/>
    <x v="313"/>
    <d v="2020-05-22T11:09:46"/>
    <x v="213"/>
    <x v="18"/>
    <s v="MLA1499"/>
    <x v="1"/>
  </r>
  <r>
    <s v="MLA19469551"/>
    <x v="284"/>
    <x v="345"/>
    <x v="191"/>
    <d v="2022-07-21T12:24:55"/>
    <x v="256"/>
    <x v="18"/>
    <s v="MLA1499"/>
    <x v="0"/>
  </r>
  <r>
    <s v="MLA911467079"/>
    <x v="285"/>
    <x v="346"/>
    <x v="79"/>
    <d v="2021-03-11T13:35:59"/>
    <x v="257"/>
    <x v="18"/>
    <s v="MLA1499"/>
    <x v="1"/>
  </r>
  <r>
    <s v="MLA862812830"/>
    <x v="10"/>
    <x v="347"/>
    <x v="314"/>
    <d v="2020-06-17T15:05:34"/>
    <x v="201"/>
    <x v="18"/>
    <s v="MLA1499"/>
    <x v="1"/>
  </r>
  <r>
    <s v="MLA879370450"/>
    <x v="10"/>
    <x v="348"/>
    <x v="315"/>
    <d v="2020-09-18T10:14:06"/>
    <x v="258"/>
    <x v="18"/>
    <s v="MLA1499"/>
    <x v="1"/>
  </r>
  <r>
    <s v="MLA847892878"/>
    <x v="10"/>
    <x v="349"/>
    <x v="316"/>
    <d v="2020-04-07T16:54:27"/>
    <x v="1"/>
    <x v="18"/>
    <s v="MLA1499"/>
    <x v="1"/>
  </r>
  <r>
    <s v="MLA630939776"/>
    <x v="10"/>
    <x v="350"/>
    <x v="317"/>
    <d v="2016-08-11T17:50:46"/>
    <x v="129"/>
    <x v="18"/>
    <s v="MLA1499"/>
    <x v="1"/>
  </r>
  <r>
    <s v="MLA1366541832"/>
    <x v="286"/>
    <x v="351"/>
    <x v="318"/>
    <d v="2023-03-08T01:00:24"/>
    <x v="259"/>
    <x v="18"/>
    <s v="MLA1499"/>
    <x v="1"/>
  </r>
  <r>
    <s v="MLA1310539380"/>
    <x v="287"/>
    <x v="352"/>
    <x v="319"/>
    <d v="2023-01-13T09:04:49"/>
    <x v="260"/>
    <x v="18"/>
    <s v="MLA1499"/>
    <x v="1"/>
  </r>
  <r>
    <s v="MLA1361556647"/>
    <x v="288"/>
    <x v="353"/>
    <x v="320"/>
    <d v="2023-03-06T16:49:22"/>
    <x v="200"/>
    <x v="18"/>
    <s v="MLA1499"/>
    <x v="1"/>
  </r>
  <r>
    <s v="MLA853619214"/>
    <x v="289"/>
    <x v="354"/>
    <x v="321"/>
    <d v="2020-05-06T10:02:05"/>
    <x v="261"/>
    <x v="18"/>
    <s v="MLA1499"/>
    <x v="1"/>
  </r>
  <r>
    <s v="MLA903234622"/>
    <x v="24"/>
    <x v="355"/>
    <x v="322"/>
    <d v="2021-01-05T18:23:02"/>
    <x v="262"/>
    <x v="18"/>
    <s v="MLA1499"/>
    <x v="1"/>
  </r>
  <r>
    <s v="MLA1375948496"/>
    <x v="24"/>
    <x v="356"/>
    <x v="323"/>
    <d v="2023-03-20T12:52:46"/>
    <x v="263"/>
    <x v="18"/>
    <s v="MLA1499"/>
    <x v="1"/>
  </r>
  <r>
    <s v="MLA1132594858"/>
    <x v="24"/>
    <x v="357"/>
    <x v="324"/>
    <d v="2022-04-18T13:07:37"/>
    <x v="59"/>
    <x v="18"/>
    <s v="MLA1499"/>
    <x v="1"/>
  </r>
  <r>
    <s v="MLA1125132128"/>
    <x v="24"/>
    <x v="358"/>
    <x v="325"/>
    <d v="2022-02-25T15:41:49"/>
    <x v="264"/>
    <x v="18"/>
    <s v="MLA1499"/>
    <x v="1"/>
  </r>
  <r>
    <s v="MLA1166099500"/>
    <x v="24"/>
    <x v="359"/>
    <x v="326"/>
    <d v="2022-09-10T18:58:31"/>
    <x v="265"/>
    <x v="18"/>
    <s v="MLA1499"/>
    <x v="1"/>
  </r>
  <r>
    <s v="MLA862809222"/>
    <x v="24"/>
    <x v="360"/>
    <x v="327"/>
    <d v="2020-06-17T14:46:47"/>
    <x v="266"/>
    <x v="18"/>
    <s v="MLA1499"/>
    <x v="1"/>
  </r>
  <r>
    <s v="MLA1379623167"/>
    <x v="25"/>
    <x v="361"/>
    <x v="328"/>
    <d v="2023-07-25T13:35:07"/>
    <x v="257"/>
    <x v="18"/>
    <s v="MLA1499"/>
    <x v="1"/>
  </r>
  <r>
    <s v="MLA21690292"/>
    <x v="290"/>
    <x v="362"/>
    <x v="329"/>
    <d v="2023-02-09T20:41:40"/>
    <x v="267"/>
    <x v="19"/>
    <s v="MLA1182"/>
    <x v="0"/>
  </r>
  <r>
    <s v="MLA698172847"/>
    <x v="291"/>
    <x v="363"/>
    <x v="330"/>
    <d v="2017-12-19T18:48:37"/>
    <x v="112"/>
    <x v="19"/>
    <s v="MLA1182"/>
    <x v="1"/>
  </r>
  <r>
    <s v="MLA16930069"/>
    <x v="292"/>
    <x v="364"/>
    <x v="331"/>
    <d v="2020-12-22T13:14:29"/>
    <x v="268"/>
    <x v="19"/>
    <s v="MLA1182"/>
    <x v="0"/>
  </r>
  <r>
    <s v="MLA22432100"/>
    <x v="293"/>
    <x v="365"/>
    <x v="332"/>
    <d v="2023-03-30T08:37:21"/>
    <x v="252"/>
    <x v="19"/>
    <s v="MLA1182"/>
    <x v="0"/>
  </r>
  <r>
    <s v="MLA793205564"/>
    <x v="294"/>
    <x v="366"/>
    <x v="333"/>
    <d v="2019-06-18T17:55:01"/>
    <x v="269"/>
    <x v="19"/>
    <s v="MLA1182"/>
    <x v="1"/>
  </r>
  <r>
    <s v="MLA21522883"/>
    <x v="295"/>
    <x v="367"/>
    <x v="334"/>
    <d v="2023-01-31T17:52:08"/>
    <x v="94"/>
    <x v="19"/>
    <s v="MLA1182"/>
    <x v="0"/>
  </r>
  <r>
    <s v="MLA18302793"/>
    <x v="296"/>
    <x v="368"/>
    <x v="335"/>
    <d v="2021-07-19T15:15:49"/>
    <x v="205"/>
    <x v="19"/>
    <s v="MLA1182"/>
    <x v="0"/>
  </r>
  <r>
    <s v="MLA18706642"/>
    <x v="297"/>
    <x v="369"/>
    <x v="336"/>
    <d v="2021-12-21T19:02:41"/>
    <x v="103"/>
    <x v="19"/>
    <s v="MLA1182"/>
    <x v="0"/>
  </r>
  <r>
    <s v="MLA21674231"/>
    <x v="298"/>
    <x v="370"/>
    <x v="337"/>
    <d v="2023-02-07T20:46:02"/>
    <x v="270"/>
    <x v="19"/>
    <s v="MLA1182"/>
    <x v="0"/>
  </r>
  <r>
    <s v="MLA681242961"/>
    <x v="299"/>
    <x v="371"/>
    <x v="338"/>
    <d v="2017-09-01T15:34:12"/>
    <x v="107"/>
    <x v="19"/>
    <s v="MLA1182"/>
    <x v="1"/>
  </r>
  <r>
    <s v="MLA625837232"/>
    <x v="300"/>
    <x v="372"/>
    <x v="339"/>
    <d v="2016-06-29T19:56:41"/>
    <x v="271"/>
    <x v="19"/>
    <s v="MLA1182"/>
    <x v="1"/>
  </r>
  <r>
    <s v="MLA1114715322"/>
    <x v="206"/>
    <x v="373"/>
    <x v="227"/>
    <d v="2021-12-03T19:54:29"/>
    <x v="272"/>
    <x v="19"/>
    <s v="MLA1182"/>
    <x v="1"/>
  </r>
  <r>
    <s v="MLA22276983"/>
    <x v="301"/>
    <x v="374"/>
    <x v="340"/>
    <d v="2023-03-17T15:09:00"/>
    <x v="273"/>
    <x v="19"/>
    <s v="MLA1182"/>
    <x v="0"/>
  </r>
  <r>
    <s v="MLA22762718"/>
    <x v="302"/>
    <x v="375"/>
    <x v="341"/>
    <d v="2023-04-20T11:00:55"/>
    <x v="274"/>
    <x v="19"/>
    <s v="MLA1182"/>
    <x v="0"/>
  </r>
  <r>
    <s v="MLA869682838"/>
    <x v="24"/>
    <x v="376"/>
    <x v="342"/>
    <d v="2020-07-23T11:00:10"/>
    <x v="274"/>
    <x v="19"/>
    <s v="MLA1182"/>
    <x v="1"/>
  </r>
  <r>
    <s v="MLA731227277"/>
    <x v="24"/>
    <x v="377"/>
    <x v="343"/>
    <d v="2018-06-12T17:06:42"/>
    <x v="275"/>
    <x v="19"/>
    <s v="MLA1182"/>
    <x v="1"/>
  </r>
  <r>
    <s v="MLA900057263"/>
    <x v="24"/>
    <x v="378"/>
    <x v="344"/>
    <d v="2020-12-05T14:32:06"/>
    <x v="276"/>
    <x v="19"/>
    <s v="MLA1182"/>
    <x v="1"/>
  </r>
  <r>
    <s v="MLA785714880"/>
    <x v="24"/>
    <x v="379"/>
    <x v="92"/>
    <d v="2019-05-10T13:39:20"/>
    <x v="195"/>
    <x v="19"/>
    <s v="MLA1182"/>
    <x v="1"/>
  </r>
  <r>
    <s v="MLA776907207"/>
    <x v="24"/>
    <x v="380"/>
    <x v="345"/>
    <d v="2019-03-21T10:51:19"/>
    <x v="277"/>
    <x v="19"/>
    <s v="MLA1182"/>
    <x v="1"/>
  </r>
  <r>
    <s v="MLA17369380"/>
    <x v="303"/>
    <x v="381"/>
    <x v="346"/>
    <d v="2021-02-10T17:31:05"/>
    <x v="278"/>
    <x v="20"/>
    <s v="MLA3937"/>
    <x v="0"/>
  </r>
  <r>
    <s v="MLA17232987"/>
    <x v="304"/>
    <x v="382"/>
    <x v="347"/>
    <d v="2021-01-12T14:13:23"/>
    <x v="279"/>
    <x v="20"/>
    <s v="MLA3937"/>
    <x v="0"/>
  </r>
  <r>
    <s v="MLA871060556"/>
    <x v="305"/>
    <x v="383"/>
    <x v="348"/>
    <d v="2020-07-31T11:30:58"/>
    <x v="280"/>
    <x v="20"/>
    <s v="MLA3937"/>
    <x v="1"/>
  </r>
  <r>
    <s v="MLA905089271"/>
    <x v="10"/>
    <x v="384"/>
    <x v="349"/>
    <d v="2021-01-21T12:46:26"/>
    <x v="281"/>
    <x v="20"/>
    <s v="MLA3937"/>
    <x v="1"/>
  </r>
  <r>
    <s v="MLA929984758"/>
    <x v="306"/>
    <x v="385"/>
    <x v="350"/>
    <d v="2021-07-18T15:52:27"/>
    <x v="282"/>
    <x v="20"/>
    <s v="MLA3937"/>
    <x v="1"/>
  </r>
  <r>
    <s v="MLA1145291076"/>
    <x v="307"/>
    <x v="386"/>
    <x v="79"/>
    <d v="2022-07-03T14:14:50"/>
    <x v="50"/>
    <x v="20"/>
    <s v="MLA3937"/>
    <x v="1"/>
  </r>
  <r>
    <s v="MLA18444793"/>
    <x v="308"/>
    <x v="387"/>
    <x v="351"/>
    <d v="2021-09-10T16:39:45"/>
    <x v="283"/>
    <x v="20"/>
    <s v="MLA3937"/>
    <x v="0"/>
  </r>
  <r>
    <s v="MLA1129405717"/>
    <x v="309"/>
    <x v="388"/>
    <x v="352"/>
    <d v="2022-03-26T16:06:13"/>
    <x v="284"/>
    <x v="20"/>
    <s v="MLA3937"/>
    <x v="1"/>
  </r>
  <r>
    <s v="MLA19534806"/>
    <x v="310"/>
    <x v="389"/>
    <x v="141"/>
    <d v="2022-08-16T10:59:13"/>
    <x v="69"/>
    <x v="20"/>
    <s v="MLA3937"/>
    <x v="0"/>
  </r>
  <r>
    <s v="MLA1221340476"/>
    <x v="311"/>
    <x v="390"/>
    <x v="75"/>
    <d v="2022-11-01T17:59:44"/>
    <x v="285"/>
    <x v="20"/>
    <s v="MLA3937"/>
    <x v="1"/>
  </r>
  <r>
    <s v="MLA1100363805"/>
    <x v="312"/>
    <x v="391"/>
    <x v="353"/>
    <d v="2021-08-29T13:48:23"/>
    <x v="286"/>
    <x v="20"/>
    <s v="MLA3937"/>
    <x v="1"/>
  </r>
  <r>
    <s v="MLA1148313773"/>
    <x v="313"/>
    <x v="392"/>
    <x v="354"/>
    <d v="2022-07-25T17:25:29"/>
    <x v="287"/>
    <x v="20"/>
    <s v="MLA3937"/>
    <x v="1"/>
  </r>
  <r>
    <s v="MLA1327735473"/>
    <x v="314"/>
    <x v="393"/>
    <x v="355"/>
    <d v="2023-01-30T20:16:39"/>
    <x v="288"/>
    <x v="20"/>
    <s v="MLA3937"/>
    <x v="1"/>
  </r>
  <r>
    <s v="MLA1100373070"/>
    <x v="315"/>
    <x v="394"/>
    <x v="353"/>
    <d v="2021-08-29T14:23:37"/>
    <x v="289"/>
    <x v="20"/>
    <s v="MLA3937"/>
    <x v="1"/>
  </r>
  <r>
    <s v="MLA1283575546"/>
    <x v="316"/>
    <x v="395"/>
    <x v="356"/>
    <d v="2022-12-15T23:08:27"/>
    <x v="290"/>
    <x v="20"/>
    <s v="MLA3937"/>
    <x v="1"/>
  </r>
  <r>
    <s v="MLA1281956611"/>
    <x v="317"/>
    <x v="396"/>
    <x v="357"/>
    <d v="2022-12-14T21:37:50"/>
    <x v="291"/>
    <x v="20"/>
    <s v="MLA3937"/>
    <x v="1"/>
  </r>
  <r>
    <s v="MLA1108316534"/>
    <x v="24"/>
    <x v="397"/>
    <x v="358"/>
    <d v="2021-10-15T00:48:19"/>
    <x v="292"/>
    <x v="20"/>
    <s v="MLA3937"/>
    <x v="1"/>
  </r>
  <r>
    <s v="MLA1146520194"/>
    <x v="318"/>
    <x v="398"/>
    <x v="359"/>
    <d v="2022-07-12T11:53:17"/>
    <x v="293"/>
    <x v="20"/>
    <s v="MLA3937"/>
    <x v="1"/>
  </r>
  <r>
    <s v="MLA915249566"/>
    <x v="319"/>
    <x v="399"/>
    <x v="360"/>
    <d v="2021-04-08T17:16:01"/>
    <x v="217"/>
    <x v="20"/>
    <s v="MLA3937"/>
    <x v="1"/>
  </r>
  <r>
    <s v="MLA1444338936"/>
    <x v="320"/>
    <x v="400"/>
    <x v="361"/>
    <d v="2023-07-06T11:07:07"/>
    <x v="250"/>
    <x v="20"/>
    <s v="MLA3937"/>
    <x v="1"/>
  </r>
  <r>
    <s v="MLA6831186"/>
    <x v="321"/>
    <x v="401"/>
    <x v="362"/>
    <d v="2017-07-13T16:49:52"/>
    <x v="200"/>
    <x v="21"/>
    <s v="MLA1132"/>
    <x v="0"/>
  </r>
  <r>
    <s v="MLA13295273"/>
    <x v="322"/>
    <x v="402"/>
    <x v="363"/>
    <d v="2018-12-12T12:53:32"/>
    <x v="294"/>
    <x v="21"/>
    <s v="MLA1132"/>
    <x v="0"/>
  </r>
  <r>
    <s v="MLA6829078"/>
    <x v="323"/>
    <x v="403"/>
    <x v="364"/>
    <d v="2017-07-13T13:55:08"/>
    <x v="295"/>
    <x v="21"/>
    <s v="MLA1132"/>
    <x v="0"/>
  </r>
  <r>
    <s v="MLA13295274"/>
    <x v="324"/>
    <x v="404"/>
    <x v="365"/>
    <d v="2018-12-12T12:53:32"/>
    <x v="294"/>
    <x v="21"/>
    <s v="MLA1132"/>
    <x v="0"/>
  </r>
  <r>
    <s v="MLA8872770"/>
    <x v="325"/>
    <x v="405"/>
    <x v="366"/>
    <d v="2018-01-23T17:30:47"/>
    <x v="237"/>
    <x v="21"/>
    <s v="MLA1132"/>
    <x v="0"/>
  </r>
  <r>
    <s v="MLA17840062"/>
    <x v="326"/>
    <x v="406"/>
    <x v="117"/>
    <d v="2021-04-27T16:52:26"/>
    <x v="61"/>
    <x v="21"/>
    <s v="MLA1132"/>
    <x v="0"/>
  </r>
  <r>
    <s v="MLA16079564"/>
    <x v="327"/>
    <x v="407"/>
    <x v="227"/>
    <d v="2020-09-09T18:07:56"/>
    <x v="296"/>
    <x v="21"/>
    <s v="MLA1132"/>
    <x v="0"/>
  </r>
  <r>
    <s v="MLA23627470"/>
    <x v="328"/>
    <x v="408"/>
    <x v="367"/>
    <d v="2023-06-02T02:21:17"/>
    <x v="297"/>
    <x v="21"/>
    <s v="MLA1132"/>
    <x v="0"/>
  </r>
  <r>
    <s v="MLA23441256"/>
    <x v="329"/>
    <x v="409"/>
    <x v="368"/>
    <d v="2023-05-25T13:38:43"/>
    <x v="298"/>
    <x v="21"/>
    <s v="MLA1132"/>
    <x v="0"/>
  </r>
  <r>
    <s v="MLA23532730"/>
    <x v="330"/>
    <x v="410"/>
    <x v="369"/>
    <d v="2023-05-29T09:40:04"/>
    <x v="299"/>
    <x v="21"/>
    <s v="MLA1132"/>
    <x v="0"/>
  </r>
  <r>
    <s v="MLA23441273"/>
    <x v="331"/>
    <x v="411"/>
    <x v="370"/>
    <d v="2023-05-25T13:38:43"/>
    <x v="298"/>
    <x v="21"/>
    <s v="MLA1132"/>
    <x v="0"/>
  </r>
  <r>
    <s v="MLA849139953"/>
    <x v="332"/>
    <x v="412"/>
    <x v="371"/>
    <d v="2020-04-14T02:51:13"/>
    <x v="300"/>
    <x v="21"/>
    <s v="MLA1132"/>
    <x v="1"/>
  </r>
  <r>
    <s v="MLA1164207235"/>
    <x v="309"/>
    <x v="413"/>
    <x v="372"/>
    <d v="2022-09-07T15:35:15"/>
    <x v="179"/>
    <x v="21"/>
    <s v="MLA1132"/>
    <x v="1"/>
  </r>
  <r>
    <s v="MLA764928019"/>
    <x v="14"/>
    <x v="414"/>
    <x v="373"/>
    <d v="2019-01-04T18:09:38"/>
    <x v="301"/>
    <x v="21"/>
    <s v="MLA1132"/>
    <x v="1"/>
  </r>
  <r>
    <s v="MLA843856471"/>
    <x v="206"/>
    <x v="415"/>
    <x v="374"/>
    <d v="2020-03-14T16:26:55"/>
    <x v="302"/>
    <x v="21"/>
    <s v="MLA1132"/>
    <x v="1"/>
  </r>
  <r>
    <s v="MLA580016017"/>
    <x v="24"/>
    <x v="416"/>
    <x v="28"/>
    <d v="2021-06-26T01:24:17"/>
    <x v="303"/>
    <x v="21"/>
    <s v="MLA1132"/>
    <x v="1"/>
  </r>
  <r>
    <s v="MLA1370905121"/>
    <x v="333"/>
    <x v="417"/>
    <x v="112"/>
    <d v="2023-05-24T23:58:25"/>
    <x v="304"/>
    <x v="21"/>
    <s v="MLA1132"/>
    <x v="1"/>
  </r>
  <r>
    <s v="MLA19691378"/>
    <x v="334"/>
    <x v="418"/>
    <x v="375"/>
    <d v="2022-10-14T14:29:31"/>
    <x v="23"/>
    <x v="22"/>
    <s v="MLA3025"/>
    <x v="0"/>
  </r>
  <r>
    <s v="MLA19801027"/>
    <x v="335"/>
    <x v="419"/>
    <x v="376"/>
    <d v="2022-11-09T22:05:50"/>
    <x v="305"/>
    <x v="22"/>
    <s v="MLA3025"/>
    <x v="0"/>
  </r>
  <r>
    <s v="MLA19921600"/>
    <x v="336"/>
    <x v="420"/>
    <x v="111"/>
    <d v="2022-12-01T18:39:54"/>
    <x v="47"/>
    <x v="22"/>
    <s v="MLA3025"/>
    <x v="0"/>
  </r>
  <r>
    <s v="MLA22073890"/>
    <x v="337"/>
    <x v="421"/>
    <x v="377"/>
    <d v="2023-03-06T19:22:15"/>
    <x v="306"/>
    <x v="22"/>
    <s v="MLA3025"/>
    <x v="0"/>
  </r>
  <r>
    <s v="MLA19908574"/>
    <x v="338"/>
    <x v="422"/>
    <x v="378"/>
    <d v="2022-11-30T18:58:57"/>
    <x v="265"/>
    <x v="22"/>
    <s v="MLA3025"/>
    <x v="0"/>
  </r>
  <r>
    <s v="MLA21937914"/>
    <x v="339"/>
    <x v="423"/>
    <x v="230"/>
    <d v="2023-02-28T19:20:16"/>
    <x v="307"/>
    <x v="22"/>
    <s v="MLA3025"/>
    <x v="0"/>
  </r>
  <r>
    <s v="MLA22134381"/>
    <x v="340"/>
    <x v="424"/>
    <x v="379"/>
    <d v="2023-03-09T21:06:11"/>
    <x v="308"/>
    <x v="22"/>
    <s v="MLA3025"/>
    <x v="0"/>
  </r>
  <r>
    <s v="MLA22047794"/>
    <x v="341"/>
    <x v="425"/>
    <x v="380"/>
    <d v="2023-03-06T09:23:14"/>
    <x v="309"/>
    <x v="22"/>
    <s v="MLA3025"/>
    <x v="0"/>
  </r>
  <r>
    <s v="MLA19798614"/>
    <x v="342"/>
    <x v="426"/>
    <x v="381"/>
    <d v="2022-11-09T18:11:52"/>
    <x v="310"/>
    <x v="22"/>
    <s v="MLA3025"/>
    <x v="0"/>
  </r>
  <r>
    <s v="MLA21937919"/>
    <x v="343"/>
    <x v="427"/>
    <x v="382"/>
    <d v="2023-02-28T19:20:17"/>
    <x v="307"/>
    <x v="22"/>
    <s v="MLA3025"/>
    <x v="0"/>
  </r>
  <r>
    <s v="MLA21937918"/>
    <x v="344"/>
    <x v="428"/>
    <x v="383"/>
    <d v="2023-02-28T19:20:17"/>
    <x v="307"/>
    <x v="22"/>
    <s v="MLA3025"/>
    <x v="0"/>
  </r>
  <r>
    <s v="MLA22634778"/>
    <x v="345"/>
    <x v="429"/>
    <x v="384"/>
    <d v="2023-04-17T11:46:14"/>
    <x v="31"/>
    <x v="22"/>
    <s v="MLA3025"/>
    <x v="0"/>
  </r>
  <r>
    <s v="MLA21500488"/>
    <x v="346"/>
    <x v="430"/>
    <x v="385"/>
    <d v="2023-01-31T15:02:08"/>
    <x v="102"/>
    <x v="22"/>
    <s v="MLA3025"/>
    <x v="0"/>
  </r>
  <r>
    <s v="MLA1223553630"/>
    <x v="347"/>
    <x v="431"/>
    <x v="386"/>
    <d v="2022-11-03T14:25:04"/>
    <x v="311"/>
    <x v="22"/>
    <s v="MLA3025"/>
    <x v="1"/>
  </r>
  <r>
    <s v="MLA22134585"/>
    <x v="348"/>
    <x v="432"/>
    <x v="387"/>
    <d v="2023-03-09T21:06:58"/>
    <x v="308"/>
    <x v="22"/>
    <s v="MLA3025"/>
    <x v="0"/>
  </r>
  <r>
    <s v="MLA926591697"/>
    <x v="24"/>
    <x v="433"/>
    <x v="388"/>
    <d v="2021-06-22T09:26:32"/>
    <x v="312"/>
    <x v="22"/>
    <s v="MLA3025"/>
    <x v="1"/>
  </r>
  <r>
    <s v="MLA1423030322"/>
    <x v="24"/>
    <x v="434"/>
    <x v="198"/>
    <d v="2023-05-24T10:50:18"/>
    <x v="3"/>
    <x v="22"/>
    <s v="MLA3025"/>
    <x v="1"/>
  </r>
  <r>
    <s v="MLA1141971247"/>
    <x v="24"/>
    <x v="435"/>
    <x v="389"/>
    <d v="2022-06-10T16:07:08"/>
    <x v="313"/>
    <x v="22"/>
    <s v="MLA3025"/>
    <x v="1"/>
  </r>
  <r>
    <s v="MLA20953806"/>
    <x v="349"/>
    <x v="436"/>
    <x v="112"/>
    <d v="2023-01-02T21:00:11"/>
    <x v="314"/>
    <x v="22"/>
    <s v="MLA3025"/>
    <x v="0"/>
  </r>
  <r>
    <s v="MLA22003111"/>
    <x v="350"/>
    <x v="437"/>
    <x v="390"/>
    <d v="2023-03-03T21:12:36"/>
    <x v="315"/>
    <x v="22"/>
    <s v="MLA3025"/>
    <x v="0"/>
  </r>
  <r>
    <s v="MLA22854894"/>
    <x v="351"/>
    <x v="438"/>
    <x v="391"/>
    <d v="2023-04-26T17:34:53"/>
    <x v="316"/>
    <x v="23"/>
    <s v="MLA1168"/>
    <x v="0"/>
  </r>
  <r>
    <s v="MLA22487174"/>
    <x v="352"/>
    <x v="439"/>
    <x v="392"/>
    <d v="2023-04-05T08:13:40"/>
    <x v="317"/>
    <x v="23"/>
    <s v="MLA1168"/>
    <x v="0"/>
  </r>
  <r>
    <s v="MLA22739493"/>
    <x v="353"/>
    <x v="440"/>
    <x v="253"/>
    <d v="2023-04-19T17:42:18"/>
    <x v="318"/>
    <x v="23"/>
    <s v="MLA1168"/>
    <x v="0"/>
  </r>
  <r>
    <s v="MLA22617989"/>
    <x v="354"/>
    <x v="441"/>
    <x v="393"/>
    <d v="2023-04-16T17:10:04"/>
    <x v="319"/>
    <x v="23"/>
    <s v="MLA1168"/>
    <x v="0"/>
  </r>
  <r>
    <s v="MLA22828318"/>
    <x v="355"/>
    <x v="442"/>
    <x v="394"/>
    <d v="2023-04-25T08:05:04"/>
    <x v="320"/>
    <x v="23"/>
    <s v="MLA1168"/>
    <x v="0"/>
  </r>
  <r>
    <s v="MLA1371963783"/>
    <x v="24"/>
    <x v="443"/>
    <x v="395"/>
    <d v="2023-06-02T16:30:07"/>
    <x v="321"/>
    <x v="23"/>
    <s v="MLA1168"/>
    <x v="1"/>
  </r>
  <r>
    <s v="MLA1107122526"/>
    <x v="24"/>
    <x v="444"/>
    <x v="396"/>
    <d v="2021-10-07T20:05:42"/>
    <x v="203"/>
    <x v="23"/>
    <s v="MLA1168"/>
    <x v="1"/>
  </r>
  <r>
    <s v="MLA875420044"/>
    <x v="24"/>
    <x v="445"/>
    <x v="397"/>
    <d v="2020-08-27T16:39:16"/>
    <x v="283"/>
    <x v="23"/>
    <s v="MLA1168"/>
    <x v="1"/>
  </r>
  <r>
    <s v="MLA1156322414"/>
    <x v="24"/>
    <x v="446"/>
    <x v="398"/>
    <d v="2022-08-22T19:18:27"/>
    <x v="15"/>
    <x v="23"/>
    <s v="MLA1168"/>
    <x v="1"/>
  </r>
  <r>
    <s v="MLA1111600991"/>
    <x v="24"/>
    <x v="447"/>
    <x v="398"/>
    <d v="2021-11-08T17:24:52"/>
    <x v="165"/>
    <x v="23"/>
    <s v="MLA1168"/>
    <x v="1"/>
  </r>
  <r>
    <s v="MLA22725394"/>
    <x v="356"/>
    <x v="448"/>
    <x v="399"/>
    <d v="2023-04-19T15:00:30"/>
    <x v="322"/>
    <x v="23"/>
    <s v="MLA1168"/>
    <x v="0"/>
  </r>
  <r>
    <s v="MLA903827738"/>
    <x v="25"/>
    <x v="449"/>
    <x v="400"/>
    <d v="2021-01-11T11:48:53"/>
    <x v="323"/>
    <x v="23"/>
    <s v="MLA1168"/>
    <x v="1"/>
  </r>
  <r>
    <s v="MLA607695886"/>
    <x v="25"/>
    <x v="450"/>
    <x v="399"/>
    <d v="2016-02-24T20:14:28"/>
    <x v="13"/>
    <x v="23"/>
    <s v="MLA1168"/>
    <x v="1"/>
  </r>
  <r>
    <s v="MLA660762989"/>
    <x v="75"/>
    <x v="451"/>
    <x v="401"/>
    <d v="2017-04-03T19:19:16"/>
    <x v="324"/>
    <x v="23"/>
    <s v="MLA1168"/>
    <x v="1"/>
  </r>
  <r>
    <s v="MLA22791661"/>
    <x v="357"/>
    <x v="452"/>
    <x v="396"/>
    <d v="2023-04-21T21:33:57"/>
    <x v="325"/>
    <x v="23"/>
    <s v="MLA1168"/>
    <x v="0"/>
  </r>
  <r>
    <s v="MLA22493894"/>
    <x v="358"/>
    <x v="453"/>
    <x v="285"/>
    <d v="2023-04-05T14:13:34"/>
    <x v="279"/>
    <x v="23"/>
    <s v="MLA1168"/>
    <x v="0"/>
  </r>
  <r>
    <s v="MLA1148002031"/>
    <x v="359"/>
    <x v="454"/>
    <x v="243"/>
    <d v="2022-07-24T01:18:51"/>
    <x v="326"/>
    <x v="23"/>
    <s v="MLA1168"/>
    <x v="1"/>
  </r>
  <r>
    <s v="MLA1379469313"/>
    <x v="360"/>
    <x v="455"/>
    <x v="402"/>
    <d v="2023-07-24T23:26:25"/>
    <x v="327"/>
    <x v="23"/>
    <s v="MLA1168"/>
    <x v="1"/>
  </r>
  <r>
    <s v="MLA1379505549"/>
    <x v="28"/>
    <x v="456"/>
    <x v="285"/>
    <d v="2023-07-24T23:04:17"/>
    <x v="328"/>
    <x v="23"/>
    <s v="MLA1168"/>
    <x v="1"/>
  </r>
  <r>
    <s v="MLA1467350410"/>
    <x v="361"/>
    <x v="457"/>
    <x v="403"/>
    <d v="2023-08-06T19:03:19"/>
    <x v="99"/>
    <x v="23"/>
    <s v="MLA1168"/>
    <x v="1"/>
  </r>
  <r>
    <s v="MLA19956502"/>
    <x v="362"/>
    <x v="458"/>
    <x v="404"/>
    <d v="2022-12-05T18:33:35"/>
    <x v="229"/>
    <x v="24"/>
    <s v="MLA1953"/>
    <x v="0"/>
  </r>
  <r>
    <s v="MLA19971436"/>
    <x v="363"/>
    <x v="459"/>
    <x v="405"/>
    <d v="2022-12-06T18:33:30"/>
    <x v="229"/>
    <x v="24"/>
    <s v="MLA1953"/>
    <x v="0"/>
  </r>
  <r>
    <s v="MLA19990711"/>
    <x v="364"/>
    <x v="460"/>
    <x v="406"/>
    <d v="2022-12-06T20:34:08"/>
    <x v="329"/>
    <x v="24"/>
    <s v="MLA1953"/>
    <x v="0"/>
  </r>
  <r>
    <s v="MLA19940435"/>
    <x v="365"/>
    <x v="461"/>
    <x v="407"/>
    <d v="2022-12-03T18:33:16"/>
    <x v="229"/>
    <x v="24"/>
    <s v="MLA1953"/>
    <x v="0"/>
  </r>
  <r>
    <s v="MLA19971430"/>
    <x v="366"/>
    <x v="462"/>
    <x v="408"/>
    <d v="2022-12-06T18:33:30"/>
    <x v="229"/>
    <x v="24"/>
    <s v="MLA1953"/>
    <x v="0"/>
  </r>
  <r>
    <s v="MLA19940438"/>
    <x v="367"/>
    <x v="463"/>
    <x v="409"/>
    <d v="2022-12-03T18:33:17"/>
    <x v="229"/>
    <x v="24"/>
    <s v="MLA1953"/>
    <x v="0"/>
  </r>
  <r>
    <s v="MLA868578880"/>
    <x v="368"/>
    <x v="464"/>
    <x v="410"/>
    <d v="2020-07-16T21:21:26"/>
    <x v="330"/>
    <x v="24"/>
    <s v="MLA1953"/>
    <x v="1"/>
  </r>
  <r>
    <s v="MLA853964200"/>
    <x v="10"/>
    <x v="465"/>
    <x v="411"/>
    <d v="2020-05-07T17:26:53"/>
    <x v="331"/>
    <x v="24"/>
    <s v="MLA1953"/>
    <x v="1"/>
  </r>
  <r>
    <s v="MLA20003006"/>
    <x v="369"/>
    <x v="466"/>
    <x v="412"/>
    <d v="2022-12-07T10:36:14"/>
    <x v="55"/>
    <x v="24"/>
    <s v="MLA1953"/>
    <x v="0"/>
  </r>
  <r>
    <s v="MLA19990707"/>
    <x v="370"/>
    <x v="467"/>
    <x v="413"/>
    <d v="2022-12-06T20:34:07"/>
    <x v="329"/>
    <x v="24"/>
    <s v="MLA1953"/>
    <x v="0"/>
  </r>
  <r>
    <s v="MLA850751996"/>
    <x v="371"/>
    <x v="468"/>
    <x v="414"/>
    <d v="2020-04-21T21:20:13"/>
    <x v="332"/>
    <x v="24"/>
    <s v="MLA1953"/>
    <x v="1"/>
  </r>
  <r>
    <s v="MLA1309407118"/>
    <x v="372"/>
    <x v="469"/>
    <x v="415"/>
    <d v="2023-01-12T09:40:23"/>
    <x v="299"/>
    <x v="24"/>
    <s v="MLA1953"/>
    <x v="1"/>
  </r>
  <r>
    <s v="MLA20993917"/>
    <x v="351"/>
    <x v="470"/>
    <x v="416"/>
    <d v="2023-01-04T00:35:03"/>
    <x v="333"/>
    <x v="24"/>
    <s v="MLA1953"/>
    <x v="0"/>
  </r>
  <r>
    <s v="MLA1107009569"/>
    <x v="373"/>
    <x v="471"/>
    <x v="417"/>
    <d v="2021-10-06T19:05:35"/>
    <x v="334"/>
    <x v="24"/>
    <s v="MLA1953"/>
    <x v="1"/>
  </r>
  <r>
    <s v="MLA1425622280"/>
    <x v="24"/>
    <x v="472"/>
    <x v="181"/>
    <d v="2023-05-29T15:30:07"/>
    <x v="81"/>
    <x v="24"/>
    <s v="MLA1953"/>
    <x v="1"/>
  </r>
  <r>
    <s v="MLA1124159987"/>
    <x v="24"/>
    <x v="473"/>
    <x v="418"/>
    <d v="2022-02-18T16:46:52"/>
    <x v="335"/>
    <x v="24"/>
    <s v="MLA1953"/>
    <x v="1"/>
  </r>
  <r>
    <s v="MLA1137002410"/>
    <x v="24"/>
    <x v="474"/>
    <x v="419"/>
    <d v="2022-05-12T12:30:57"/>
    <x v="336"/>
    <x v="24"/>
    <s v="MLA1953"/>
    <x v="1"/>
  </r>
  <r>
    <s v="MLA899045315"/>
    <x v="24"/>
    <x v="475"/>
    <x v="420"/>
    <d v="2020-11-27T12:22:09"/>
    <x v="163"/>
    <x v="24"/>
    <s v="MLA1953"/>
    <x v="1"/>
  </r>
  <r>
    <s v="MLA1401627808"/>
    <x v="374"/>
    <x v="476"/>
    <x v="421"/>
    <d v="2023-04-21T12:45:29"/>
    <x v="236"/>
    <x v="24"/>
    <s v="MLA1953"/>
    <x v="1"/>
  </r>
  <r>
    <s v="MLA1375881833"/>
    <x v="75"/>
    <x v="477"/>
    <x v="422"/>
    <d v="2023-07-05T17:05:32"/>
    <x v="175"/>
    <x v="24"/>
    <s v="MLA1953"/>
    <x v="1"/>
  </r>
  <r>
    <s v="MLA619208970"/>
    <x v="375"/>
    <x v="478"/>
    <x v="423"/>
    <d v="2016-05-05T20:05:48"/>
    <x v="203"/>
    <x v="25"/>
    <s v="MLA1430"/>
    <x v="1"/>
  </r>
  <r>
    <s v="MLA851120815"/>
    <x v="376"/>
    <x v="479"/>
    <x v="424"/>
    <d v="2020-04-23T19:02:06"/>
    <x v="103"/>
    <x v="25"/>
    <s v="MLA1430"/>
    <x v="1"/>
  </r>
  <r>
    <s v="MLA911412538"/>
    <x v="377"/>
    <x v="480"/>
    <x v="425"/>
    <d v="2021-03-11T07:55:25"/>
    <x v="337"/>
    <x v="25"/>
    <s v="MLA1430"/>
    <x v="1"/>
  </r>
  <r>
    <s v="MLA877040991"/>
    <x v="378"/>
    <x v="481"/>
    <x v="426"/>
    <d v="2020-09-06T12:23:21"/>
    <x v="65"/>
    <x v="25"/>
    <s v="MLA1430"/>
    <x v="1"/>
  </r>
  <r>
    <s v="MLA1110822890"/>
    <x v="379"/>
    <x v="482"/>
    <x v="427"/>
    <d v="2021-11-02T14:10:39"/>
    <x v="338"/>
    <x v="25"/>
    <s v="MLA1430"/>
    <x v="1"/>
  </r>
  <r>
    <s v="MLA1149398008"/>
    <x v="380"/>
    <x v="483"/>
    <x v="428"/>
    <d v="2022-08-02T18:00:59"/>
    <x v="178"/>
    <x v="25"/>
    <s v="MLA1430"/>
    <x v="1"/>
  </r>
  <r>
    <s v="MLA845275688"/>
    <x v="381"/>
    <x v="484"/>
    <x v="429"/>
    <d v="2020-03-25T11:35:04"/>
    <x v="339"/>
    <x v="25"/>
    <s v="MLA1430"/>
    <x v="1"/>
  </r>
  <r>
    <s v="MLA1379543968"/>
    <x v="382"/>
    <x v="485"/>
    <x v="430"/>
    <d v="2023-03-24T13:57:52"/>
    <x v="340"/>
    <x v="25"/>
    <s v="MLA1430"/>
    <x v="1"/>
  </r>
  <r>
    <s v="MLA1146475522"/>
    <x v="383"/>
    <x v="486"/>
    <x v="33"/>
    <d v="2022-07-11T19:29:07"/>
    <x v="341"/>
    <x v="25"/>
    <s v="MLA1430"/>
    <x v="1"/>
  </r>
  <r>
    <s v="MLA1371125744"/>
    <x v="384"/>
    <x v="487"/>
    <x v="431"/>
    <d v="2023-03-14T12:22:05"/>
    <x v="163"/>
    <x v="25"/>
    <s v="MLA1430"/>
    <x v="1"/>
  </r>
  <r>
    <s v="MLA911111642"/>
    <x v="385"/>
    <x v="488"/>
    <x v="432"/>
    <d v="2021-03-09T10:56:43"/>
    <x v="342"/>
    <x v="25"/>
    <s v="MLA1430"/>
    <x v="1"/>
  </r>
  <r>
    <s v="MLA886247092"/>
    <x v="386"/>
    <x v="489"/>
    <x v="433"/>
    <d v="2020-10-31T09:49:06"/>
    <x v="343"/>
    <x v="25"/>
    <s v="MLA1430"/>
    <x v="1"/>
  </r>
  <r>
    <s v="MLA1265774576"/>
    <x v="387"/>
    <x v="490"/>
    <x v="434"/>
    <d v="2022-11-30T14:07:42"/>
    <x v="344"/>
    <x v="25"/>
    <s v="MLA1430"/>
    <x v="1"/>
  </r>
  <r>
    <s v="MLA1235791119"/>
    <x v="388"/>
    <x v="491"/>
    <x v="107"/>
    <d v="2022-11-11T16:21:35"/>
    <x v="345"/>
    <x v="25"/>
    <s v="MLA1430"/>
    <x v="1"/>
  </r>
  <r>
    <s v="MLA815050458"/>
    <x v="389"/>
    <x v="492"/>
    <x v="435"/>
    <d v="2019-09-15T18:56:05"/>
    <x v="346"/>
    <x v="25"/>
    <s v="MLA1430"/>
    <x v="1"/>
  </r>
  <r>
    <s v="MLA1138419137"/>
    <x v="390"/>
    <x v="493"/>
    <x v="436"/>
    <d v="2022-05-23T08:59:36"/>
    <x v="347"/>
    <x v="25"/>
    <s v="MLA1430"/>
    <x v="1"/>
  </r>
  <r>
    <s v="MLA1396606660"/>
    <x v="391"/>
    <x v="494"/>
    <x v="437"/>
    <d v="2023-04-14T20:49:26"/>
    <x v="96"/>
    <x v="25"/>
    <s v="MLA1430"/>
    <x v="1"/>
  </r>
  <r>
    <s v="MLA926488501"/>
    <x v="392"/>
    <x v="495"/>
    <x v="343"/>
    <d v="2021-06-21T02:32:41"/>
    <x v="348"/>
    <x v="25"/>
    <s v="MLA1430"/>
    <x v="1"/>
  </r>
  <r>
    <s v="MLA820367649"/>
    <x v="24"/>
    <x v="496"/>
    <x v="438"/>
    <d v="2019-10-17T13:06:41"/>
    <x v="247"/>
    <x v="25"/>
    <s v="MLA1430"/>
    <x v="1"/>
  </r>
  <r>
    <s v="MLA18948053"/>
    <x v="393"/>
    <x v="497"/>
    <x v="439"/>
    <d v="2022-02-22T16:02:18"/>
    <x v="97"/>
    <x v="26"/>
    <s v="MLA409431"/>
    <x v="0"/>
  </r>
  <r>
    <s v="MLA15503957"/>
    <x v="394"/>
    <x v="498"/>
    <x v="440"/>
    <d v="2020-03-02T10:40:16"/>
    <x v="68"/>
    <x v="26"/>
    <s v="MLA409431"/>
    <x v="0"/>
  </r>
  <r>
    <s v="MLA19441502"/>
    <x v="395"/>
    <x v="499"/>
    <x v="198"/>
    <d v="2022-07-08T00:43:33"/>
    <x v="349"/>
    <x v="26"/>
    <s v="MLA409431"/>
    <x v="0"/>
  </r>
  <r>
    <s v="MLA18212679"/>
    <x v="396"/>
    <x v="500"/>
    <x v="441"/>
    <d v="2021-06-30T09:27:11"/>
    <x v="350"/>
    <x v="26"/>
    <s v="MLA409431"/>
    <x v="0"/>
  </r>
  <r>
    <s v="MLA18614897"/>
    <x v="397"/>
    <x v="501"/>
    <x v="442"/>
    <d v="2021-11-16T14:30:30"/>
    <x v="351"/>
    <x v="26"/>
    <s v="MLA409431"/>
    <x v="0"/>
  </r>
  <r>
    <s v="MLA18613671"/>
    <x v="398"/>
    <x v="502"/>
    <x v="443"/>
    <d v="2021-11-15T17:14:36"/>
    <x v="62"/>
    <x v="26"/>
    <s v="MLA409431"/>
    <x v="0"/>
  </r>
  <r>
    <s v="MLA22021805"/>
    <x v="399"/>
    <x v="503"/>
    <x v="444"/>
    <d v="2023-03-04T19:12:05"/>
    <x v="100"/>
    <x v="26"/>
    <s v="MLA409431"/>
    <x v="0"/>
  </r>
  <r>
    <s v="MLA19147005"/>
    <x v="400"/>
    <x v="504"/>
    <x v="445"/>
    <d v="2022-06-06T19:02:30"/>
    <x v="103"/>
    <x v="26"/>
    <s v="MLA409431"/>
    <x v="0"/>
  </r>
  <r>
    <s v="MLA1108957511"/>
    <x v="10"/>
    <x v="505"/>
    <x v="193"/>
    <d v="2021-10-20T12:44:18"/>
    <x v="352"/>
    <x v="26"/>
    <s v="MLA409431"/>
    <x v="1"/>
  </r>
  <r>
    <s v="MLA1119496660"/>
    <x v="401"/>
    <x v="506"/>
    <x v="446"/>
    <d v="2022-01-14T15:45:41"/>
    <x v="188"/>
    <x v="26"/>
    <s v="MLA409431"/>
    <x v="1"/>
  </r>
  <r>
    <s v="MLA872176455"/>
    <x v="281"/>
    <x v="507"/>
    <x v="447"/>
    <d v="2020-08-07T11:06:01"/>
    <x v="27"/>
    <x v="26"/>
    <s v="MLA409431"/>
    <x v="1"/>
  </r>
  <r>
    <s v="MLA1180622302"/>
    <x v="309"/>
    <x v="508"/>
    <x v="448"/>
    <d v="2022-09-29T11:05:34"/>
    <x v="353"/>
    <x v="26"/>
    <s v="MLA409431"/>
    <x v="1"/>
  </r>
  <r>
    <s v="MLA796378799"/>
    <x v="402"/>
    <x v="509"/>
    <x v="449"/>
    <d v="2019-07-01T19:36:12"/>
    <x v="130"/>
    <x v="27"/>
    <s v="MLA9304"/>
    <x v="1"/>
  </r>
  <r>
    <s v="MLA800268665"/>
    <x v="10"/>
    <x v="510"/>
    <x v="450"/>
    <d v="2019-07-15T11:46:47"/>
    <x v="31"/>
    <x v="27"/>
    <s v="MLA9304"/>
    <x v="1"/>
  </r>
  <r>
    <s v="MLA622222212"/>
    <x v="10"/>
    <x v="511"/>
    <x v="451"/>
    <d v="2016-05-30T09:09:44"/>
    <x v="354"/>
    <x v="27"/>
    <s v="MLA9304"/>
    <x v="1"/>
  </r>
  <r>
    <s v="MLA635870846"/>
    <x v="10"/>
    <x v="512"/>
    <x v="452"/>
    <d v="2016-09-20T22:36:14"/>
    <x v="355"/>
    <x v="27"/>
    <s v="MLA9304"/>
    <x v="1"/>
  </r>
  <r>
    <s v="MLA850912783"/>
    <x v="403"/>
    <x v="513"/>
    <x v="453"/>
    <d v="2020-04-22T19:49:02"/>
    <x v="356"/>
    <x v="27"/>
    <s v="MLA9304"/>
    <x v="1"/>
  </r>
  <r>
    <s v="MLA851153593"/>
    <x v="404"/>
    <x v="514"/>
    <x v="44"/>
    <d v="2020-04-23T22:18:28"/>
    <x v="357"/>
    <x v="27"/>
    <s v="MLA9304"/>
    <x v="1"/>
  </r>
  <r>
    <s v="MLA1128830174"/>
    <x v="221"/>
    <x v="515"/>
    <x v="454"/>
    <d v="2022-03-22T17:30:23"/>
    <x v="237"/>
    <x v="27"/>
    <s v="MLA9304"/>
    <x v="1"/>
  </r>
  <r>
    <s v="MLA1425400552"/>
    <x v="300"/>
    <x v="516"/>
    <x v="455"/>
    <d v="2023-05-29T13:32:19"/>
    <x v="358"/>
    <x v="27"/>
    <s v="MLA9304"/>
    <x v="1"/>
  </r>
  <r>
    <s v="MLA1370977661"/>
    <x v="405"/>
    <x v="517"/>
    <x v="456"/>
    <d v="2023-05-24T19:26:44"/>
    <x v="359"/>
    <x v="27"/>
    <s v="MLA9304"/>
    <x v="1"/>
  </r>
  <r>
    <s v="MLA1154231259"/>
    <x v="406"/>
    <x v="518"/>
    <x v="457"/>
    <d v="2022-08-18T09:49:48"/>
    <x v="343"/>
    <x v="27"/>
    <s v="MLA9304"/>
    <x v="1"/>
  </r>
  <r>
    <s v="MLA1363852129"/>
    <x v="407"/>
    <x v="519"/>
    <x v="458"/>
    <d v="2023-03-26T13:07:16"/>
    <x v="59"/>
    <x v="27"/>
    <s v="MLA9304"/>
    <x v="1"/>
  </r>
  <r>
    <s v="MLA1104595285"/>
    <x v="408"/>
    <x v="520"/>
    <x v="459"/>
    <d v="2021-09-22T17:22:02"/>
    <x v="144"/>
    <x v="27"/>
    <s v="MLA9304"/>
    <x v="1"/>
  </r>
  <r>
    <s v="MLA1145516374"/>
    <x v="24"/>
    <x v="521"/>
    <x v="460"/>
    <d v="2022-07-05T10:24:49"/>
    <x v="142"/>
    <x v="27"/>
    <s v="MLA9304"/>
    <x v="1"/>
  </r>
  <r>
    <s v="MLA1370888909"/>
    <x v="24"/>
    <x v="522"/>
    <x v="461"/>
    <d v="2023-05-24T19:26:32"/>
    <x v="359"/>
    <x v="27"/>
    <s v="MLA9304"/>
    <x v="1"/>
  </r>
  <r>
    <s v="MLA912369734"/>
    <x v="24"/>
    <x v="523"/>
    <x v="462"/>
    <d v="2021-03-17T19:12:58"/>
    <x v="100"/>
    <x v="27"/>
    <s v="MLA9304"/>
    <x v="1"/>
  </r>
  <r>
    <s v="MLA1120223774"/>
    <x v="24"/>
    <x v="524"/>
    <x v="463"/>
    <d v="2022-01-21T21:45:43"/>
    <x v="360"/>
    <x v="27"/>
    <s v="MLA9304"/>
    <x v="1"/>
  </r>
  <r>
    <s v="MLA1145260244"/>
    <x v="24"/>
    <x v="525"/>
    <x v="464"/>
    <d v="2022-07-02T23:28:34"/>
    <x v="238"/>
    <x v="27"/>
    <s v="MLA9304"/>
    <x v="1"/>
  </r>
  <r>
    <s v="MLA1370889227"/>
    <x v="24"/>
    <x v="526"/>
    <x v="465"/>
    <d v="2023-05-24T19:27:23"/>
    <x v="361"/>
    <x v="27"/>
    <s v="MLA9304"/>
    <x v="1"/>
  </r>
  <r>
    <s v="MLA1157509916"/>
    <x v="409"/>
    <x v="527"/>
    <x v="466"/>
    <d v="2022-08-24T15:41:56"/>
    <x v="264"/>
    <x v="27"/>
    <s v="MLA9304"/>
    <x v="1"/>
  </r>
  <r>
    <s v="MLA1361239847"/>
    <x v="410"/>
    <x v="528"/>
    <x v="467"/>
    <d v="2023-03-02T20:35:59"/>
    <x v="362"/>
    <x v="27"/>
    <s v="MLA930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64F39-1CD6-4E21-A426-B92FCB9F7483}" name="TablaDiná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B126:F127" firstHeaderRow="0" firstDataRow="1" firstDataCol="0" rowPageCount="1" colPageCount="1"/>
  <pivotFields count="10">
    <pivotField showAll="0"/>
    <pivotField dataField="1" showAll="0"/>
    <pivotField showAll="0"/>
    <pivotField dataField="1" showAll="0"/>
    <pivotField numFmtId="14" showAll="0"/>
    <pivotField showAll="0">
      <items count="364">
        <item x="210"/>
        <item x="153"/>
        <item x="245"/>
        <item x="333"/>
        <item x="246"/>
        <item x="349"/>
        <item x="292"/>
        <item x="63"/>
        <item x="259"/>
        <item x="150"/>
        <item x="326"/>
        <item x="303"/>
        <item x="166"/>
        <item x="297"/>
        <item x="254"/>
        <item x="348"/>
        <item x="300"/>
        <item x="122"/>
        <item x="170"/>
        <item x="337"/>
        <item x="320"/>
        <item x="45"/>
        <item x="317"/>
        <item x="138"/>
        <item x="176"/>
        <item x="26"/>
        <item x="252"/>
        <item x="77"/>
        <item x="347"/>
        <item x="260"/>
        <item x="32"/>
        <item x="354"/>
        <item x="111"/>
        <item x="54"/>
        <item x="309"/>
        <item x="225"/>
        <item x="312"/>
        <item x="350"/>
        <item x="240"/>
        <item x="67"/>
        <item x="33"/>
        <item x="299"/>
        <item x="72"/>
        <item x="343"/>
        <item x="186"/>
        <item x="208"/>
        <item x="148"/>
        <item x="29"/>
        <item x="224"/>
        <item x="261"/>
        <item x="215"/>
        <item x="7"/>
        <item x="258"/>
        <item x="109"/>
        <item x="84"/>
        <item x="142"/>
        <item x="18"/>
        <item x="221"/>
        <item x="143"/>
        <item x="55"/>
        <item x="243"/>
        <item x="68"/>
        <item x="123"/>
        <item x="228"/>
        <item x="181"/>
        <item x="3"/>
        <item x="277"/>
        <item x="10"/>
        <item x="218"/>
        <item x="342"/>
        <item x="69"/>
        <item x="274"/>
        <item x="353"/>
        <item x="27"/>
        <item x="250"/>
        <item x="213"/>
        <item x="0"/>
        <item x="52"/>
        <item x="160"/>
        <item x="121"/>
        <item x="220"/>
        <item x="162"/>
        <item x="190"/>
        <item x="85"/>
        <item x="280"/>
        <item x="207"/>
        <item x="339"/>
        <item x="51"/>
        <item x="56"/>
        <item x="155"/>
        <item x="95"/>
        <item x="31"/>
        <item x="197"/>
        <item x="323"/>
        <item x="202"/>
        <item x="199"/>
        <item x="158"/>
        <item x="293"/>
        <item x="36"/>
        <item x="86"/>
        <item x="20"/>
        <item x="60"/>
        <item x="19"/>
        <item x="88"/>
        <item x="9"/>
        <item x="193"/>
        <item x="131"/>
        <item x="187"/>
        <item x="70"/>
        <item x="163"/>
        <item x="65"/>
        <item x="256"/>
        <item x="255"/>
        <item x="8"/>
        <item x="194"/>
        <item x="22"/>
        <item x="336"/>
        <item x="177"/>
        <item x="223"/>
        <item x="352"/>
        <item x="236"/>
        <item x="281"/>
        <item x="127"/>
        <item x="242"/>
        <item x="263"/>
        <item x="294"/>
        <item x="212"/>
        <item x="209"/>
        <item x="247"/>
        <item x="59"/>
        <item x="268"/>
        <item x="230"/>
        <item x="173"/>
        <item x="73"/>
        <item x="40"/>
        <item x="358"/>
        <item x="198"/>
        <item x="257"/>
        <item x="253"/>
        <item x="298"/>
        <item x="195"/>
        <item x="92"/>
        <item x="192"/>
        <item x="286"/>
        <item x="295"/>
        <item x="340"/>
        <item x="244"/>
        <item x="344"/>
        <item x="338"/>
        <item x="104"/>
        <item x="279"/>
        <item x="50"/>
        <item x="174"/>
        <item x="78"/>
        <item x="49"/>
        <item x="2"/>
        <item x="30"/>
        <item x="182"/>
        <item x="289"/>
        <item x="311"/>
        <item x="231"/>
        <item x="23"/>
        <item x="351"/>
        <item x="159"/>
        <item x="276"/>
        <item x="80"/>
        <item x="183"/>
        <item x="157"/>
        <item x="204"/>
        <item x="64"/>
        <item x="42"/>
        <item x="266"/>
        <item x="128"/>
        <item x="16"/>
        <item x="124"/>
        <item x="322"/>
        <item x="102"/>
        <item x="75"/>
        <item x="201"/>
        <item x="273"/>
        <item x="205"/>
        <item x="139"/>
        <item x="234"/>
        <item x="57"/>
        <item x="105"/>
        <item x="35"/>
        <item x="169"/>
        <item x="184"/>
        <item x="81"/>
        <item x="107"/>
        <item x="179"/>
        <item x="41"/>
        <item x="38"/>
        <item x="25"/>
        <item x="264"/>
        <item x="110"/>
        <item x="188"/>
        <item x="74"/>
        <item x="233"/>
        <item x="282"/>
        <item x="154"/>
        <item x="98"/>
        <item x="113"/>
        <item x="97"/>
        <item x="214"/>
        <item x="284"/>
        <item x="313"/>
        <item x="164"/>
        <item x="101"/>
        <item x="114"/>
        <item x="146"/>
        <item x="345"/>
        <item x="133"/>
        <item x="151"/>
        <item x="302"/>
        <item x="90"/>
        <item x="83"/>
        <item x="321"/>
        <item x="58"/>
        <item x="6"/>
        <item x="79"/>
        <item x="283"/>
        <item x="335"/>
        <item x="200"/>
        <item x="24"/>
        <item x="61"/>
        <item x="145"/>
        <item x="1"/>
        <item x="206"/>
        <item x="116"/>
        <item x="71"/>
        <item x="175"/>
        <item x="275"/>
        <item x="319"/>
        <item x="82"/>
        <item x="62"/>
        <item x="217"/>
        <item x="53"/>
        <item x="34"/>
        <item x="144"/>
        <item x="132"/>
        <item x="165"/>
        <item x="287"/>
        <item x="331"/>
        <item x="115"/>
        <item x="140"/>
        <item x="237"/>
        <item x="278"/>
        <item x="316"/>
        <item x="147"/>
        <item x="185"/>
        <item x="318"/>
        <item x="118"/>
        <item x="17"/>
        <item x="167"/>
        <item x="129"/>
        <item x="94"/>
        <item x="172"/>
        <item x="269"/>
        <item x="5"/>
        <item x="66"/>
        <item x="285"/>
        <item x="178"/>
        <item x="28"/>
        <item x="126"/>
        <item x="222"/>
        <item x="296"/>
        <item x="106"/>
        <item x="301"/>
        <item x="310"/>
        <item x="43"/>
        <item x="4"/>
        <item x="189"/>
        <item x="262"/>
        <item x="229"/>
        <item x="120"/>
        <item x="149"/>
        <item x="248"/>
        <item x="47"/>
        <item x="227"/>
        <item x="211"/>
        <item x="112"/>
        <item x="12"/>
        <item x="235"/>
        <item x="346"/>
        <item x="265"/>
        <item x="21"/>
        <item x="103"/>
        <item x="99"/>
        <item x="44"/>
        <item x="334"/>
        <item x="141"/>
        <item x="76"/>
        <item x="136"/>
        <item x="100"/>
        <item x="137"/>
        <item x="11"/>
        <item x="15"/>
        <item x="324"/>
        <item x="307"/>
        <item x="306"/>
        <item x="359"/>
        <item x="361"/>
        <item x="89"/>
        <item x="341"/>
        <item x="232"/>
        <item x="219"/>
        <item x="130"/>
        <item x="156"/>
        <item x="180"/>
        <item x="135"/>
        <item x="196"/>
        <item x="356"/>
        <item x="272"/>
        <item x="271"/>
        <item x="191"/>
        <item x="48"/>
        <item x="125"/>
        <item x="37"/>
        <item x="203"/>
        <item x="119"/>
        <item x="13"/>
        <item x="288"/>
        <item x="152"/>
        <item x="134"/>
        <item x="39"/>
        <item x="329"/>
        <item x="362"/>
        <item x="46"/>
        <item x="267"/>
        <item x="270"/>
        <item x="96"/>
        <item x="108"/>
        <item x="314"/>
        <item x="87"/>
        <item x="308"/>
        <item x="315"/>
        <item x="171"/>
        <item x="332"/>
        <item x="330"/>
        <item x="216"/>
        <item x="325"/>
        <item x="291"/>
        <item x="360"/>
        <item x="239"/>
        <item x="305"/>
        <item x="117"/>
        <item x="161"/>
        <item x="251"/>
        <item x="226"/>
        <item x="357"/>
        <item x="355"/>
        <item x="249"/>
        <item x="14"/>
        <item x="93"/>
        <item x="328"/>
        <item x="290"/>
        <item x="327"/>
        <item x="238"/>
        <item x="91"/>
        <item x="241"/>
        <item x="168"/>
        <item x="304"/>
        <item t="default"/>
      </items>
    </pivotField>
    <pivotField axis="axisPage" multipleItemSelectionAllowed="1" showAll="0">
      <items count="29">
        <item x="0"/>
        <item x="1"/>
        <item x="2"/>
        <item x="3"/>
        <item x="4"/>
        <item x="5"/>
        <item x="6"/>
        <item x="7"/>
        <item x="12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 defaultSubtotal="0">
      <items count="4">
        <item x="0"/>
        <item x="1"/>
        <item x="2"/>
        <item x="3"/>
      </items>
    </pivotField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pageFields count="1">
    <pageField fld="6" hier="-1"/>
  </pageFields>
  <dataFields count="5">
    <dataField name="Total vendido" fld="1" baseField="0" baseItem="0"/>
    <dataField name="Promedio vendido" fld="1" subtotal="average" baseField="0" baseItem="1"/>
    <dataField name="Máx. vendido" fld="1" subtotal="max" baseField="0" baseItem="1"/>
    <dataField name="Mín. vendido" fld="1" subtotal="min" baseField="0" baseItem="1"/>
    <dataField name="Promedio precio" fld="3" subtotal="average" baseField="0" baseItem="1"/>
  </dataFields>
  <formats count="1"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2B7B450-4BCD-45D3-9A1F-2374C81AFECE}" name="TablaDinámica4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showHeaders="0" outline="1" outlineData="1" multipleFieldFilters="0" chartFormat="5" rowHeaderCaption="horario">
  <location ref="Q81:R444" firstHeaderRow="1" firstDataRow="1" firstDataCol="1"/>
  <pivotFields count="10">
    <pivotField showAll="0" defaultSubtotal="0"/>
    <pivotField dataField="1" showAll="0" defaultSubtotal="0"/>
    <pivotField showAll="0" defaultSubtota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umFmtId="14" showAll="0" defaultSubtotal="0"/>
    <pivotField axis="axisRow" showAll="0" sortType="ascending" defaultSubtotal="0">
      <items count="363">
        <item x="210"/>
        <item x="153"/>
        <item x="245"/>
        <item x="333"/>
        <item x="246"/>
        <item x="349"/>
        <item x="292"/>
        <item x="63"/>
        <item x="259"/>
        <item x="150"/>
        <item x="326"/>
        <item x="303"/>
        <item x="166"/>
        <item x="297"/>
        <item x="254"/>
        <item x="348"/>
        <item x="300"/>
        <item x="122"/>
        <item x="170"/>
        <item x="337"/>
        <item x="320"/>
        <item x="45"/>
        <item x="317"/>
        <item x="138"/>
        <item x="176"/>
        <item x="26"/>
        <item x="252"/>
        <item x="77"/>
        <item x="347"/>
        <item x="260"/>
        <item x="32"/>
        <item x="354"/>
        <item x="111"/>
        <item x="54"/>
        <item x="309"/>
        <item x="225"/>
        <item x="312"/>
        <item x="350"/>
        <item x="240"/>
        <item x="67"/>
        <item x="33"/>
        <item x="299"/>
        <item x="72"/>
        <item x="343"/>
        <item x="186"/>
        <item x="208"/>
        <item x="148"/>
        <item x="29"/>
        <item x="224"/>
        <item x="261"/>
        <item x="215"/>
        <item x="7"/>
        <item x="258"/>
        <item x="109"/>
        <item x="84"/>
        <item x="142"/>
        <item x="18"/>
        <item x="221"/>
        <item x="143"/>
        <item x="55"/>
        <item x="243"/>
        <item x="68"/>
        <item x="123"/>
        <item x="228"/>
        <item x="181"/>
        <item x="3"/>
        <item x="277"/>
        <item x="10"/>
        <item x="218"/>
        <item x="342"/>
        <item x="69"/>
        <item x="274"/>
        <item x="353"/>
        <item x="27"/>
        <item x="250"/>
        <item x="213"/>
        <item x="0"/>
        <item x="52"/>
        <item x="160"/>
        <item x="121"/>
        <item x="220"/>
        <item x="162"/>
        <item x="190"/>
        <item x="85"/>
        <item x="280"/>
        <item x="207"/>
        <item x="339"/>
        <item x="51"/>
        <item x="56"/>
        <item x="155"/>
        <item x="95"/>
        <item x="31"/>
        <item x="197"/>
        <item x="323"/>
        <item x="202"/>
        <item x="199"/>
        <item x="158"/>
        <item x="293"/>
        <item x="36"/>
        <item x="86"/>
        <item x="20"/>
        <item x="60"/>
        <item x="19"/>
        <item x="88"/>
        <item x="9"/>
        <item x="193"/>
        <item x="131"/>
        <item x="187"/>
        <item x="70"/>
        <item x="163"/>
        <item x="65"/>
        <item x="256"/>
        <item x="255"/>
        <item x="8"/>
        <item x="194"/>
        <item x="22"/>
        <item x="336"/>
        <item x="177"/>
        <item x="223"/>
        <item x="352"/>
        <item x="236"/>
        <item x="281"/>
        <item x="127"/>
        <item x="242"/>
        <item x="263"/>
        <item x="294"/>
        <item x="212"/>
        <item x="209"/>
        <item x="247"/>
        <item x="59"/>
        <item x="268"/>
        <item x="230"/>
        <item x="173"/>
        <item x="73"/>
        <item x="40"/>
        <item x="358"/>
        <item x="198"/>
        <item x="257"/>
        <item x="253"/>
        <item x="298"/>
        <item x="195"/>
        <item x="92"/>
        <item x="192"/>
        <item x="286"/>
        <item x="295"/>
        <item x="340"/>
        <item x="244"/>
        <item x="344"/>
        <item x="338"/>
        <item x="104"/>
        <item x="279"/>
        <item x="50"/>
        <item x="174"/>
        <item x="78"/>
        <item x="49"/>
        <item x="2"/>
        <item x="30"/>
        <item x="182"/>
        <item x="289"/>
        <item x="311"/>
        <item x="231"/>
        <item x="23"/>
        <item x="351"/>
        <item x="159"/>
        <item x="276"/>
        <item x="80"/>
        <item x="183"/>
        <item x="157"/>
        <item x="204"/>
        <item x="64"/>
        <item x="42"/>
        <item x="266"/>
        <item x="128"/>
        <item x="16"/>
        <item x="124"/>
        <item x="322"/>
        <item x="102"/>
        <item x="75"/>
        <item x="201"/>
        <item x="273"/>
        <item x="205"/>
        <item x="139"/>
        <item x="234"/>
        <item x="57"/>
        <item x="105"/>
        <item x="35"/>
        <item x="169"/>
        <item x="184"/>
        <item x="81"/>
        <item x="107"/>
        <item x="179"/>
        <item x="41"/>
        <item x="38"/>
        <item x="25"/>
        <item x="264"/>
        <item x="110"/>
        <item x="188"/>
        <item x="74"/>
        <item x="233"/>
        <item x="282"/>
        <item x="154"/>
        <item x="98"/>
        <item x="113"/>
        <item x="97"/>
        <item x="214"/>
        <item x="284"/>
        <item x="313"/>
        <item x="164"/>
        <item x="101"/>
        <item x="114"/>
        <item x="146"/>
        <item x="345"/>
        <item x="133"/>
        <item x="151"/>
        <item x="302"/>
        <item x="90"/>
        <item x="83"/>
        <item x="321"/>
        <item x="58"/>
        <item x="6"/>
        <item x="79"/>
        <item x="283"/>
        <item x="335"/>
        <item x="200"/>
        <item x="24"/>
        <item x="61"/>
        <item x="145"/>
        <item x="1"/>
        <item x="206"/>
        <item x="116"/>
        <item x="71"/>
        <item x="175"/>
        <item x="275"/>
        <item x="319"/>
        <item x="82"/>
        <item x="62"/>
        <item x="217"/>
        <item x="53"/>
        <item x="34"/>
        <item x="144"/>
        <item x="132"/>
        <item x="165"/>
        <item x="287"/>
        <item x="331"/>
        <item x="115"/>
        <item x="140"/>
        <item x="237"/>
        <item x="278"/>
        <item x="316"/>
        <item x="147"/>
        <item x="185"/>
        <item x="318"/>
        <item x="118"/>
        <item x="17"/>
        <item x="167"/>
        <item x="129"/>
        <item x="94"/>
        <item x="172"/>
        <item x="269"/>
        <item x="5"/>
        <item x="66"/>
        <item x="285"/>
        <item x="178"/>
        <item x="28"/>
        <item x="126"/>
        <item x="222"/>
        <item x="296"/>
        <item x="106"/>
        <item x="301"/>
        <item x="310"/>
        <item x="43"/>
        <item x="4"/>
        <item x="189"/>
        <item x="262"/>
        <item x="229"/>
        <item x="120"/>
        <item x="149"/>
        <item x="248"/>
        <item x="47"/>
        <item x="227"/>
        <item x="211"/>
        <item x="112"/>
        <item x="12"/>
        <item x="235"/>
        <item x="346"/>
        <item x="265"/>
        <item x="21"/>
        <item x="103"/>
        <item x="99"/>
        <item x="44"/>
        <item x="334"/>
        <item x="141"/>
        <item x="76"/>
        <item x="136"/>
        <item x="100"/>
        <item x="137"/>
        <item x="11"/>
        <item x="15"/>
        <item x="324"/>
        <item x="307"/>
        <item x="306"/>
        <item x="359"/>
        <item x="361"/>
        <item x="89"/>
        <item x="341"/>
        <item x="232"/>
        <item x="219"/>
        <item x="130"/>
        <item x="156"/>
        <item x="180"/>
        <item x="135"/>
        <item x="196"/>
        <item x="356"/>
        <item x="272"/>
        <item x="271"/>
        <item x="191"/>
        <item x="48"/>
        <item x="125"/>
        <item x="37"/>
        <item x="203"/>
        <item x="119"/>
        <item x="13"/>
        <item x="288"/>
        <item x="152"/>
        <item x="134"/>
        <item x="39"/>
        <item x="329"/>
        <item x="362"/>
        <item x="46"/>
        <item x="267"/>
        <item x="270"/>
        <item x="96"/>
        <item x="108"/>
        <item x="314"/>
        <item x="87"/>
        <item x="308"/>
        <item x="315"/>
        <item x="171"/>
        <item x="332"/>
        <item x="330"/>
        <item x="216"/>
        <item x="325"/>
        <item x="291"/>
        <item x="360"/>
        <item x="239"/>
        <item x="305"/>
        <item x="117"/>
        <item x="161"/>
        <item x="251"/>
        <item x="226"/>
        <item x="357"/>
        <item x="355"/>
        <item x="249"/>
        <item x="14"/>
        <item x="93"/>
        <item x="328"/>
        <item x="290"/>
        <item x="327"/>
        <item x="238"/>
        <item x="91"/>
        <item x="241"/>
        <item x="168"/>
        <item x="304"/>
      </items>
    </pivotField>
    <pivotField showAll="0" defaultSubtotal="0">
      <items count="28">
        <item x="0"/>
        <item x="1"/>
        <item x="2"/>
        <item x="3"/>
        <item x="4"/>
        <item x="5"/>
        <item x="6"/>
        <item x="7"/>
        <item x="12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5"/>
  </rowFields>
  <rowItems count="36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</rowItems>
  <colItems count="1">
    <i/>
  </colItems>
  <dataFields count="1">
    <dataField name="Cantidad de ventas" fld="1" baseField="5" baseItem="3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ED767F-D49D-43AF-A88D-68A53B63937D}" name="TablaDinámica2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5" rowHeaderCaption="Productos vendidos">
  <location ref="A64:B69" firstHeaderRow="1" firstDataRow="1" firstDataCol="1"/>
  <pivotFields count="10">
    <pivotField showAll="0"/>
    <pivotField dataField="1" showAll="0"/>
    <pivotField axis="axisRow" showAll="0" measureFilter="1" sortType="descending">
      <items count="530">
        <item x="353"/>
        <item x="486"/>
        <item x="494"/>
        <item x="488"/>
        <item x="268"/>
        <item x="480"/>
        <item x="485"/>
        <item x="490"/>
        <item x="495"/>
        <item x="267"/>
        <item x="291"/>
        <item x="44"/>
        <item x="50"/>
        <item x="167"/>
        <item x="174"/>
        <item x="159"/>
        <item x="235"/>
        <item x="270"/>
        <item x="508"/>
        <item x="290"/>
        <item x="454"/>
        <item x="354"/>
        <item x="450"/>
        <item x="448"/>
        <item x="451"/>
        <item x="439"/>
        <item x="528"/>
        <item x="408"/>
        <item x="409"/>
        <item x="371"/>
        <item x="366"/>
        <item x="447"/>
        <item x="446"/>
        <item x="252"/>
        <item x="253"/>
        <item x="243"/>
        <item x="261"/>
        <item x="497"/>
        <item x="340"/>
        <item x="279"/>
        <item x="271"/>
        <item x="192"/>
        <item x="190"/>
        <item x="123"/>
        <item x="129"/>
        <item x="477"/>
        <item x="330"/>
        <item x="399"/>
        <item x="233"/>
        <item x="254"/>
        <item x="505"/>
        <item x="499"/>
        <item x="503"/>
        <item x="339"/>
        <item x="369"/>
        <item x="375"/>
        <item x="438"/>
        <item x="445"/>
        <item x="449"/>
        <item x="442"/>
        <item x="238"/>
        <item x="239"/>
        <item x="240"/>
        <item x="237"/>
        <item x="244"/>
        <item x="161"/>
        <item x="234"/>
        <item x="27"/>
        <item x="316"/>
        <item x="311"/>
        <item x="314"/>
        <item x="320"/>
        <item x="318"/>
        <item x="501"/>
        <item x="266"/>
        <item x="255"/>
        <item x="265"/>
        <item x="256"/>
        <item x="258"/>
        <item x="257"/>
        <item x="259"/>
        <item x="260"/>
        <item x="500"/>
        <item x="443"/>
        <item x="16"/>
        <item x="14"/>
        <item x="13"/>
        <item x="298"/>
        <item x="295"/>
        <item x="378"/>
        <item x="296"/>
        <item x="363"/>
        <item x="293"/>
        <item x="336"/>
        <item x="24"/>
        <item x="382"/>
        <item x="172"/>
        <item x="302"/>
        <item x="0"/>
        <item x="387"/>
        <item x="333"/>
        <item x="329"/>
        <item x="309"/>
        <item x="310"/>
        <item x="430"/>
        <item x="368"/>
        <item x="294"/>
        <item x="9"/>
        <item x="319"/>
        <item x="415"/>
        <item x="516"/>
        <item x="509"/>
        <item x="137"/>
        <item x="141"/>
        <item x="152"/>
        <item x="151"/>
        <item x="38"/>
        <item x="156"/>
        <item x="144"/>
        <item x="150"/>
        <item x="10"/>
        <item x="79"/>
        <item x="171"/>
        <item x="165"/>
        <item x="170"/>
        <item x="162"/>
        <item x="464"/>
        <item x="468"/>
        <item x="474"/>
        <item x="476"/>
        <item x="465"/>
        <item x="469"/>
        <item x="324"/>
        <item x="348"/>
        <item x="250"/>
        <item x="357"/>
        <item x="98"/>
        <item x="191"/>
        <item x="100"/>
        <item x="99"/>
        <item x="105"/>
        <item x="115"/>
        <item x="212"/>
        <item x="478"/>
        <item x="481"/>
        <item x="388"/>
        <item x="386"/>
        <item x="390"/>
        <item x="389"/>
        <item x="381"/>
        <item x="395"/>
        <item x="384"/>
        <item x="398"/>
        <item x="383"/>
        <item x="95"/>
        <item x="332"/>
        <item x="139"/>
        <item x="457"/>
        <item x="65"/>
        <item x="512"/>
        <item x="154"/>
        <item x="140"/>
        <item x="148"/>
        <item x="146"/>
        <item x="208"/>
        <item x="142"/>
        <item x="414"/>
        <item x="103"/>
        <item x="102"/>
        <item x="322"/>
        <item x="35"/>
        <item x="32"/>
        <item x="229"/>
        <item x="215"/>
        <item x="297"/>
        <item x="471"/>
        <item x="78"/>
        <item x="312"/>
        <item x="284"/>
        <item x="143"/>
        <item x="361"/>
        <item x="185"/>
        <item x="417"/>
        <item x="288"/>
        <item x="289"/>
        <item x="325"/>
        <item x="133"/>
        <item x="131"/>
        <item x="120"/>
        <item x="482"/>
        <item x="496"/>
        <item x="351"/>
        <item x="344"/>
        <item x="487"/>
        <item x="124"/>
        <item x="247"/>
        <item x="373"/>
        <item x="483"/>
        <item x="434"/>
        <item x="3"/>
        <item x="81"/>
        <item x="452"/>
        <item x="121"/>
        <item x="77"/>
        <item x="76"/>
        <item x="58"/>
        <item x="130"/>
        <item x="126"/>
        <item x="125"/>
        <item x="119"/>
        <item x="456"/>
        <item x="455"/>
        <item x="1"/>
        <item x="127"/>
        <item x="283"/>
        <item x="502"/>
        <item x="491"/>
        <item x="281"/>
        <item x="163"/>
        <item x="164"/>
        <item x="413"/>
        <item x="251"/>
        <item x="179"/>
        <item x="82"/>
        <item x="83"/>
        <item x="86"/>
        <item x="94"/>
        <item x="88"/>
        <item x="84"/>
        <item x="80"/>
        <item x="85"/>
        <item x="280"/>
        <item x="356"/>
        <item x="198"/>
        <item x="248"/>
        <item x="249"/>
        <item x="364"/>
        <item x="236"/>
        <item x="272"/>
        <item x="355"/>
        <item x="184"/>
        <item x="210"/>
        <item x="323"/>
        <item x="269"/>
        <item x="45"/>
        <item x="48"/>
        <item x="69"/>
        <item x="116"/>
        <item x="112"/>
        <item x="149"/>
        <item x="209"/>
        <item x="393"/>
        <item x="400"/>
        <item x="391"/>
        <item x="264"/>
        <item x="21"/>
        <item x="20"/>
        <item x="463"/>
        <item x="460"/>
        <item x="462"/>
        <item x="470"/>
        <item x="262"/>
        <item x="475"/>
        <item x="231"/>
        <item x="275"/>
        <item x="89"/>
        <item x="422"/>
        <item x="436"/>
        <item x="423"/>
        <item x="419"/>
        <item x="428"/>
        <item x="421"/>
        <item x="427"/>
        <item x="46"/>
        <item x="128"/>
        <item x="118"/>
        <item x="122"/>
        <item x="111"/>
        <item x="334"/>
        <item x="524"/>
        <item x="440"/>
        <item x="426"/>
        <item x="26"/>
        <item x="338"/>
        <item x="155"/>
        <item x="349"/>
        <item x="4"/>
        <item x="181"/>
        <item x="527"/>
        <item x="18"/>
        <item x="106"/>
        <item x="108"/>
        <item x="101"/>
        <item x="188"/>
        <item x="411"/>
        <item x="410"/>
        <item x="132"/>
        <item x="403"/>
        <item x="405"/>
        <item x="401"/>
        <item x="404"/>
        <item x="331"/>
        <item x="406"/>
        <item x="407"/>
        <item x="213"/>
        <item x="200"/>
        <item x="194"/>
        <item x="201"/>
        <item x="206"/>
        <item x="211"/>
        <item x="203"/>
        <item x="204"/>
        <item x="328"/>
        <item x="226"/>
        <item x="521"/>
        <item x="117"/>
        <item x="282"/>
        <item x="29"/>
        <item x="28"/>
        <item x="110"/>
        <item x="31"/>
        <item x="315"/>
        <item x="19"/>
        <item x="317"/>
        <item x="23"/>
        <item x="25"/>
        <item x="287"/>
        <item x="343"/>
        <item x="453"/>
        <item x="372"/>
        <item x="326"/>
        <item x="217"/>
        <item x="341"/>
        <item x="196"/>
        <item x="207"/>
        <item x="510"/>
        <item x="513"/>
        <item x="195"/>
        <item x="461"/>
        <item x="458"/>
        <item x="467"/>
        <item x="459"/>
        <item x="466"/>
        <item x="138"/>
        <item x="56"/>
        <item x="52"/>
        <item x="220"/>
        <item x="376"/>
        <item x="15"/>
        <item x="17"/>
        <item x="134"/>
        <item x="193"/>
        <item x="187"/>
        <item x="202"/>
        <item x="205"/>
        <item x="49"/>
        <item x="216"/>
        <item x="218"/>
        <item x="418"/>
        <item x="313"/>
        <item x="435"/>
        <item x="362"/>
        <item x="370"/>
        <item x="34"/>
        <item x="37"/>
        <item x="437"/>
        <item x="228"/>
        <item x="225"/>
        <item x="158"/>
        <item x="432"/>
        <item x="402"/>
        <item x="277"/>
        <item x="520"/>
        <item x="321"/>
        <item x="186"/>
        <item x="182"/>
        <item n="Disco sólido interno Kingston " x="177"/>
        <item x="178"/>
        <item x="379"/>
        <item x="412"/>
        <item x="2"/>
        <item x="11"/>
        <item x="484"/>
        <item x="472"/>
        <item x="517"/>
        <item x="514"/>
        <item x="335"/>
        <item x="374"/>
        <item x="350"/>
        <item x="359"/>
        <item x="522"/>
        <item x="511"/>
        <item x="523"/>
        <item x="392"/>
        <item x="396"/>
        <item x="397"/>
        <item x="429"/>
        <item x="424"/>
        <item x="416"/>
        <item x="114"/>
        <item x="347"/>
        <item x="360"/>
        <item x="104"/>
        <item x="299"/>
        <item x="147"/>
        <item x="441"/>
        <item x="109"/>
        <item x="145"/>
        <item x="168"/>
        <item x="473"/>
        <item x="183"/>
        <item x="175"/>
        <item x="51"/>
        <item x="41"/>
        <item x="43"/>
        <item x="42"/>
        <item x="380"/>
        <item x="12"/>
        <item x="425"/>
        <item x="241"/>
        <item x="327"/>
        <item x="245"/>
        <item x="273"/>
        <item x="107"/>
        <item x="506"/>
        <item x="57"/>
        <item n="cápsula Nescafé Dolce Gusto" x="39"/>
        <item x="135"/>
        <item x="367"/>
        <item x="36"/>
        <item x="365"/>
        <item x="33"/>
        <item x="492"/>
        <item x="493"/>
        <item x="352"/>
        <item x="489"/>
        <item x="223"/>
        <item x="214"/>
        <item x="221"/>
        <item x="227"/>
        <item x="219"/>
        <item x="22"/>
        <item x="230"/>
        <item x="232"/>
        <item x="444"/>
        <item x="433"/>
        <item x="431"/>
        <item x="515"/>
        <item x="278"/>
        <item x="526"/>
        <item x="136"/>
        <item x="519"/>
        <item x="90"/>
        <item x="96"/>
        <item x="92"/>
        <item x="87"/>
        <item x="91"/>
        <item x="337"/>
        <item x="274"/>
        <item x="498"/>
        <item x="504"/>
        <item x="276"/>
        <item x="157"/>
        <item x="300"/>
        <item x="292"/>
        <item x="180"/>
        <item x="189"/>
        <item x="166"/>
        <item x="303"/>
        <item x="199"/>
        <item x="197"/>
        <item x="301"/>
        <item x="304"/>
        <item n="Auriculares Bluetooth In-Ear Gamer" x="176"/>
        <item x="305"/>
        <item x="377"/>
        <item x="285"/>
        <item x="286"/>
        <item x="342"/>
        <item x="7"/>
        <item x="345"/>
        <item n="Art-Jet A4 fotográfico de 20 hojas" x="97"/>
        <item x="385"/>
        <item x="160"/>
        <item x="358"/>
        <item x="153"/>
        <item x="307"/>
        <item x="308"/>
        <item x="306"/>
        <item x="479"/>
        <item x="67"/>
        <item x="60"/>
        <item x="68"/>
        <item x="75"/>
        <item x="70"/>
        <item x="61"/>
        <item x="71"/>
        <item x="72"/>
        <item x="62"/>
        <item x="66"/>
        <item x="59"/>
        <item x="64"/>
        <item x="74"/>
        <item x="73"/>
        <item x="63"/>
        <item x="6"/>
        <item x="5"/>
        <item x="8"/>
        <item x="47"/>
        <item x="53"/>
        <item x="54"/>
        <item x="263"/>
        <item x="93"/>
        <item x="525"/>
        <item x="507"/>
        <item x="518"/>
        <item x="113"/>
        <item x="40"/>
        <item x="346"/>
        <item x="30"/>
        <item x="55"/>
        <item x="169"/>
        <item x="173"/>
        <item x="394"/>
        <item x="420"/>
        <item x="222"/>
        <item x="224"/>
        <item x="242"/>
        <item x="24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14" showAll="0"/>
    <pivotField showAll="0">
      <items count="364">
        <item x="210"/>
        <item x="153"/>
        <item x="245"/>
        <item x="333"/>
        <item x="246"/>
        <item x="349"/>
        <item x="292"/>
        <item x="63"/>
        <item x="259"/>
        <item x="150"/>
        <item x="326"/>
        <item x="303"/>
        <item x="166"/>
        <item x="297"/>
        <item x="254"/>
        <item x="348"/>
        <item x="300"/>
        <item x="122"/>
        <item x="170"/>
        <item x="337"/>
        <item x="320"/>
        <item x="45"/>
        <item x="317"/>
        <item x="138"/>
        <item x="176"/>
        <item x="26"/>
        <item x="252"/>
        <item x="77"/>
        <item x="347"/>
        <item x="260"/>
        <item x="32"/>
        <item x="354"/>
        <item x="111"/>
        <item x="54"/>
        <item x="309"/>
        <item x="225"/>
        <item x="312"/>
        <item x="350"/>
        <item x="240"/>
        <item x="67"/>
        <item x="33"/>
        <item x="299"/>
        <item x="72"/>
        <item x="343"/>
        <item x="186"/>
        <item x="208"/>
        <item x="148"/>
        <item x="29"/>
        <item x="224"/>
        <item x="261"/>
        <item x="215"/>
        <item x="7"/>
        <item x="258"/>
        <item x="109"/>
        <item x="84"/>
        <item x="142"/>
        <item x="18"/>
        <item x="221"/>
        <item x="143"/>
        <item x="55"/>
        <item x="243"/>
        <item x="68"/>
        <item x="123"/>
        <item x="228"/>
        <item x="181"/>
        <item x="3"/>
        <item x="277"/>
        <item x="10"/>
        <item x="218"/>
        <item x="342"/>
        <item x="69"/>
        <item x="274"/>
        <item x="353"/>
        <item x="27"/>
        <item x="250"/>
        <item x="213"/>
        <item x="0"/>
        <item x="52"/>
        <item x="160"/>
        <item x="121"/>
        <item x="220"/>
        <item x="162"/>
        <item x="190"/>
        <item x="85"/>
        <item x="280"/>
        <item x="207"/>
        <item x="339"/>
        <item x="51"/>
        <item x="56"/>
        <item x="155"/>
        <item x="95"/>
        <item x="31"/>
        <item x="197"/>
        <item x="323"/>
        <item x="202"/>
        <item x="199"/>
        <item x="158"/>
        <item x="293"/>
        <item x="36"/>
        <item x="86"/>
        <item x="20"/>
        <item x="60"/>
        <item x="19"/>
        <item x="88"/>
        <item x="9"/>
        <item x="193"/>
        <item x="131"/>
        <item x="187"/>
        <item x="70"/>
        <item x="163"/>
        <item x="65"/>
        <item x="256"/>
        <item x="255"/>
        <item x="8"/>
        <item x="194"/>
        <item x="22"/>
        <item x="336"/>
        <item x="177"/>
        <item x="223"/>
        <item x="352"/>
        <item x="236"/>
        <item x="281"/>
        <item x="127"/>
        <item x="242"/>
        <item x="263"/>
        <item x="294"/>
        <item x="212"/>
        <item x="209"/>
        <item x="247"/>
        <item x="59"/>
        <item x="268"/>
        <item x="230"/>
        <item x="173"/>
        <item x="73"/>
        <item x="40"/>
        <item x="358"/>
        <item x="198"/>
        <item x="257"/>
        <item x="253"/>
        <item x="298"/>
        <item x="195"/>
        <item x="92"/>
        <item x="192"/>
        <item x="286"/>
        <item x="295"/>
        <item x="340"/>
        <item x="244"/>
        <item x="344"/>
        <item x="338"/>
        <item x="104"/>
        <item x="279"/>
        <item x="50"/>
        <item x="174"/>
        <item x="78"/>
        <item x="49"/>
        <item x="2"/>
        <item x="30"/>
        <item x="182"/>
        <item x="289"/>
        <item x="311"/>
        <item x="231"/>
        <item x="23"/>
        <item x="351"/>
        <item x="159"/>
        <item x="276"/>
        <item x="80"/>
        <item x="183"/>
        <item x="157"/>
        <item x="204"/>
        <item x="64"/>
        <item x="42"/>
        <item x="266"/>
        <item x="128"/>
        <item x="16"/>
        <item x="124"/>
        <item x="322"/>
        <item x="102"/>
        <item x="75"/>
        <item x="201"/>
        <item x="273"/>
        <item x="205"/>
        <item x="139"/>
        <item x="234"/>
        <item x="57"/>
        <item x="105"/>
        <item x="35"/>
        <item x="169"/>
        <item x="184"/>
        <item x="81"/>
        <item x="107"/>
        <item x="179"/>
        <item x="41"/>
        <item x="38"/>
        <item x="25"/>
        <item x="264"/>
        <item x="110"/>
        <item x="188"/>
        <item x="74"/>
        <item x="233"/>
        <item x="282"/>
        <item x="154"/>
        <item x="98"/>
        <item x="113"/>
        <item x="97"/>
        <item x="214"/>
        <item x="284"/>
        <item x="313"/>
        <item x="164"/>
        <item x="101"/>
        <item x="114"/>
        <item x="146"/>
        <item x="345"/>
        <item x="133"/>
        <item x="151"/>
        <item x="302"/>
        <item x="90"/>
        <item x="83"/>
        <item x="321"/>
        <item x="58"/>
        <item x="6"/>
        <item x="79"/>
        <item x="283"/>
        <item x="335"/>
        <item x="200"/>
        <item x="24"/>
        <item x="61"/>
        <item x="145"/>
        <item x="1"/>
        <item x="206"/>
        <item x="116"/>
        <item x="71"/>
        <item x="175"/>
        <item x="275"/>
        <item x="319"/>
        <item x="82"/>
        <item x="62"/>
        <item x="217"/>
        <item x="53"/>
        <item x="34"/>
        <item x="144"/>
        <item x="132"/>
        <item x="165"/>
        <item x="287"/>
        <item x="331"/>
        <item x="115"/>
        <item x="140"/>
        <item x="237"/>
        <item x="278"/>
        <item x="316"/>
        <item x="147"/>
        <item x="185"/>
        <item x="318"/>
        <item x="118"/>
        <item x="17"/>
        <item x="167"/>
        <item x="129"/>
        <item x="94"/>
        <item x="172"/>
        <item x="269"/>
        <item x="5"/>
        <item x="66"/>
        <item x="285"/>
        <item x="178"/>
        <item x="28"/>
        <item x="126"/>
        <item x="222"/>
        <item x="296"/>
        <item x="106"/>
        <item x="301"/>
        <item x="310"/>
        <item x="43"/>
        <item x="4"/>
        <item x="189"/>
        <item x="262"/>
        <item x="229"/>
        <item x="120"/>
        <item x="149"/>
        <item x="248"/>
        <item x="47"/>
        <item x="227"/>
        <item x="211"/>
        <item x="112"/>
        <item x="12"/>
        <item x="235"/>
        <item x="346"/>
        <item x="265"/>
        <item x="21"/>
        <item x="103"/>
        <item x="99"/>
        <item x="44"/>
        <item x="334"/>
        <item x="141"/>
        <item x="76"/>
        <item x="136"/>
        <item x="100"/>
        <item x="137"/>
        <item x="11"/>
        <item x="15"/>
        <item x="324"/>
        <item x="307"/>
        <item x="306"/>
        <item x="359"/>
        <item x="361"/>
        <item x="89"/>
        <item x="341"/>
        <item x="232"/>
        <item x="219"/>
        <item x="130"/>
        <item x="156"/>
        <item x="180"/>
        <item x="135"/>
        <item x="196"/>
        <item x="356"/>
        <item x="272"/>
        <item x="271"/>
        <item x="191"/>
        <item x="48"/>
        <item x="125"/>
        <item x="37"/>
        <item x="203"/>
        <item x="119"/>
        <item x="13"/>
        <item x="288"/>
        <item x="152"/>
        <item x="134"/>
        <item x="39"/>
        <item x="329"/>
        <item x="362"/>
        <item x="46"/>
        <item x="267"/>
        <item x="270"/>
        <item x="96"/>
        <item x="108"/>
        <item x="314"/>
        <item x="87"/>
        <item x="308"/>
        <item x="315"/>
        <item x="171"/>
        <item x="332"/>
        <item x="330"/>
        <item x="216"/>
        <item x="325"/>
        <item x="291"/>
        <item x="360"/>
        <item x="239"/>
        <item x="305"/>
        <item x="117"/>
        <item x="161"/>
        <item x="251"/>
        <item x="226"/>
        <item x="357"/>
        <item x="355"/>
        <item x="249"/>
        <item x="14"/>
        <item x="93"/>
        <item x="328"/>
        <item x="290"/>
        <item x="327"/>
        <item x="238"/>
        <item x="91"/>
        <item x="241"/>
        <item x="168"/>
        <item x="304"/>
        <item t="default"/>
      </items>
    </pivotField>
    <pivotField showAll="0">
      <items count="29">
        <item x="0"/>
        <item x="1"/>
        <item x="2"/>
        <item x="3"/>
        <item x="4"/>
        <item x="5"/>
        <item x="6"/>
        <item x="7"/>
        <item x="12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showAll="0"/>
    <pivotField showAll="0"/>
    <pivotField showAll="0" defaultSubtotal="0">
      <items count="4">
        <item x="0"/>
        <item x="1"/>
        <item x="2"/>
        <item x="3"/>
      </items>
    </pivotField>
  </pivotFields>
  <rowFields count="1">
    <field x="2"/>
  </rowFields>
  <rowItems count="5">
    <i>
      <x v="473"/>
    </i>
    <i>
      <x v="481"/>
    </i>
    <i>
      <x v="426"/>
    </i>
    <i>
      <x v="136"/>
    </i>
    <i>
      <x v="376"/>
    </i>
  </rowItems>
  <colItems count="1">
    <i/>
  </colItems>
  <dataFields count="1">
    <dataField name="Cantidad vendida" fld="1" baseField="2" baseItem="78"/>
  </dataFields>
  <chartFormats count="1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73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2" count="1" selected="0">
            <x v="481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2" count="1" selected="0">
            <x v="426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2" count="1" selected="0">
            <x v="136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2" count="1" selected="0">
            <x v="376"/>
          </reference>
        </references>
      </pivotArea>
    </chartFormat>
    <chartFormat chart="4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2" count="1" selected="0">
            <x v="473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2" count="1" selected="0">
            <x v="481"/>
          </reference>
        </references>
      </pivotArea>
    </chartFormat>
    <chartFormat chart="4" format="15">
      <pivotArea type="data" outline="0" fieldPosition="0">
        <references count="2">
          <reference field="4294967294" count="1" selected="0">
            <x v="0"/>
          </reference>
          <reference field="2" count="1" selected="0">
            <x v="426"/>
          </reference>
        </references>
      </pivotArea>
    </chartFormat>
    <chartFormat chart="4" format="16">
      <pivotArea type="data" outline="0" fieldPosition="0">
        <references count="2">
          <reference field="4294967294" count="1" selected="0">
            <x v="0"/>
          </reference>
          <reference field="2" count="1" selected="0">
            <x v="136"/>
          </reference>
        </references>
      </pivotArea>
    </chartFormat>
    <chartFormat chart="4" format="17">
      <pivotArea type="data" outline="0" fieldPosition="0">
        <references count="2">
          <reference field="4294967294" count="1" selected="0">
            <x v="0"/>
          </reference>
          <reference field="2" count="1" selected="0">
            <x v="376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D1E608D-F5A9-4E52-93F0-049116BB7A79}" name="TablaDinámica1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outline="1" outlineData="1" multipleFieldFilters="0" chartFormat="6" rowHeaderCaption="Categoría">
  <location ref="A46:B50" firstHeaderRow="1" firstDataRow="1" firstDataCol="1"/>
  <pivotFields count="10">
    <pivotField showAll="0" defaultSubtotal="0"/>
    <pivotField dataField="1" showAll="0" defaultSubtotal="0"/>
    <pivotField showAll="0" defaultSubtotal="0"/>
    <pivotField showAll="0" defaultSubtotal="0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numFmtId="14" showAll="0" defaultSubtotal="0"/>
    <pivotField showAll="0" defaultSubtotal="0">
      <items count="363">
        <item x="210"/>
        <item x="153"/>
        <item x="245"/>
        <item x="333"/>
        <item x="246"/>
        <item x="349"/>
        <item x="292"/>
        <item x="63"/>
        <item x="259"/>
        <item x="150"/>
        <item x="326"/>
        <item x="303"/>
        <item x="166"/>
        <item x="297"/>
        <item x="254"/>
        <item x="348"/>
        <item x="300"/>
        <item x="122"/>
        <item x="170"/>
        <item x="337"/>
        <item x="320"/>
        <item x="45"/>
        <item x="317"/>
        <item x="138"/>
        <item x="176"/>
        <item x="26"/>
        <item x="252"/>
        <item x="77"/>
        <item x="347"/>
        <item x="260"/>
        <item x="32"/>
        <item x="354"/>
        <item x="111"/>
        <item x="54"/>
        <item x="309"/>
        <item x="225"/>
        <item x="312"/>
        <item x="350"/>
        <item x="240"/>
        <item x="67"/>
        <item x="33"/>
        <item x="299"/>
        <item x="72"/>
        <item x="343"/>
        <item x="186"/>
        <item x="208"/>
        <item x="148"/>
        <item x="29"/>
        <item x="224"/>
        <item x="261"/>
        <item x="215"/>
        <item x="7"/>
        <item x="258"/>
        <item x="109"/>
        <item x="84"/>
        <item x="142"/>
        <item x="18"/>
        <item x="221"/>
        <item x="143"/>
        <item x="55"/>
        <item x="243"/>
        <item x="68"/>
        <item x="123"/>
        <item x="228"/>
        <item x="181"/>
        <item x="3"/>
        <item x="277"/>
        <item x="10"/>
        <item x="218"/>
        <item x="342"/>
        <item x="69"/>
        <item x="274"/>
        <item x="353"/>
        <item x="27"/>
        <item x="250"/>
        <item x="213"/>
        <item x="0"/>
        <item x="52"/>
        <item x="160"/>
        <item x="121"/>
        <item x="220"/>
        <item x="162"/>
        <item x="190"/>
        <item x="85"/>
        <item x="280"/>
        <item x="207"/>
        <item x="339"/>
        <item x="51"/>
        <item x="56"/>
        <item x="155"/>
        <item x="95"/>
        <item x="31"/>
        <item x="197"/>
        <item x="323"/>
        <item x="202"/>
        <item x="199"/>
        <item x="158"/>
        <item x="293"/>
        <item x="36"/>
        <item x="86"/>
        <item x="20"/>
        <item x="60"/>
        <item x="19"/>
        <item x="88"/>
        <item x="9"/>
        <item x="193"/>
        <item x="131"/>
        <item x="187"/>
        <item x="70"/>
        <item x="163"/>
        <item x="65"/>
        <item x="256"/>
        <item x="255"/>
        <item x="8"/>
        <item x="194"/>
        <item x="22"/>
        <item x="336"/>
        <item x="177"/>
        <item x="223"/>
        <item x="352"/>
        <item x="236"/>
        <item x="281"/>
        <item x="127"/>
        <item x="242"/>
        <item x="263"/>
        <item x="294"/>
        <item x="212"/>
        <item x="209"/>
        <item x="247"/>
        <item x="59"/>
        <item x="268"/>
        <item x="230"/>
        <item x="173"/>
        <item x="73"/>
        <item x="40"/>
        <item x="358"/>
        <item x="198"/>
        <item x="257"/>
        <item x="253"/>
        <item x="298"/>
        <item x="195"/>
        <item x="92"/>
        <item x="192"/>
        <item x="286"/>
        <item x="295"/>
        <item x="340"/>
        <item x="244"/>
        <item x="344"/>
        <item x="338"/>
        <item x="104"/>
        <item x="279"/>
        <item x="50"/>
        <item x="174"/>
        <item x="78"/>
        <item x="49"/>
        <item x="2"/>
        <item x="30"/>
        <item x="182"/>
        <item x="289"/>
        <item x="311"/>
        <item x="231"/>
        <item x="23"/>
        <item x="351"/>
        <item x="159"/>
        <item x="276"/>
        <item x="80"/>
        <item x="183"/>
        <item x="157"/>
        <item x="204"/>
        <item x="64"/>
        <item x="42"/>
        <item x="266"/>
        <item x="128"/>
        <item x="16"/>
        <item x="124"/>
        <item x="322"/>
        <item x="102"/>
        <item x="75"/>
        <item x="201"/>
        <item x="273"/>
        <item x="205"/>
        <item x="139"/>
        <item x="234"/>
        <item x="57"/>
        <item x="105"/>
        <item x="35"/>
        <item x="169"/>
        <item x="184"/>
        <item x="81"/>
        <item x="107"/>
        <item x="179"/>
        <item x="41"/>
        <item x="38"/>
        <item x="25"/>
        <item x="264"/>
        <item x="110"/>
        <item x="188"/>
        <item x="74"/>
        <item x="233"/>
        <item x="282"/>
        <item x="154"/>
        <item x="98"/>
        <item x="113"/>
        <item x="97"/>
        <item x="214"/>
        <item x="284"/>
        <item x="313"/>
        <item x="164"/>
        <item x="101"/>
        <item x="114"/>
        <item x="146"/>
        <item x="345"/>
        <item x="133"/>
        <item x="151"/>
        <item x="302"/>
        <item x="90"/>
        <item x="83"/>
        <item x="321"/>
        <item x="58"/>
        <item x="6"/>
        <item x="79"/>
        <item x="283"/>
        <item x="335"/>
        <item x="200"/>
        <item x="24"/>
        <item x="61"/>
        <item x="145"/>
        <item x="1"/>
        <item x="206"/>
        <item x="116"/>
        <item x="71"/>
        <item x="175"/>
        <item x="275"/>
        <item x="319"/>
        <item x="82"/>
        <item x="62"/>
        <item x="217"/>
        <item x="53"/>
        <item x="34"/>
        <item x="144"/>
        <item x="132"/>
        <item x="165"/>
        <item x="287"/>
        <item x="331"/>
        <item x="115"/>
        <item x="140"/>
        <item x="237"/>
        <item x="278"/>
        <item x="316"/>
        <item x="147"/>
        <item x="185"/>
        <item x="318"/>
        <item x="118"/>
        <item x="17"/>
        <item x="167"/>
        <item x="129"/>
        <item x="94"/>
        <item x="172"/>
        <item x="269"/>
        <item x="5"/>
        <item x="66"/>
        <item x="285"/>
        <item x="178"/>
        <item x="28"/>
        <item x="126"/>
        <item x="222"/>
        <item x="296"/>
        <item x="106"/>
        <item x="301"/>
        <item x="310"/>
        <item x="43"/>
        <item x="4"/>
        <item x="189"/>
        <item x="262"/>
        <item x="229"/>
        <item x="120"/>
        <item x="149"/>
        <item x="248"/>
        <item x="47"/>
        <item x="227"/>
        <item x="211"/>
        <item x="112"/>
        <item x="12"/>
        <item x="235"/>
        <item x="346"/>
        <item x="265"/>
        <item x="21"/>
        <item x="103"/>
        <item x="99"/>
        <item x="44"/>
        <item x="334"/>
        <item x="141"/>
        <item x="76"/>
        <item x="136"/>
        <item x="100"/>
        <item x="137"/>
        <item x="11"/>
        <item x="15"/>
        <item x="324"/>
        <item x="307"/>
        <item x="306"/>
        <item x="359"/>
        <item x="361"/>
        <item x="89"/>
        <item x="341"/>
        <item x="232"/>
        <item x="219"/>
        <item x="130"/>
        <item x="156"/>
        <item x="180"/>
        <item x="135"/>
        <item x="196"/>
        <item x="356"/>
        <item x="272"/>
        <item x="271"/>
        <item x="191"/>
        <item x="48"/>
        <item x="125"/>
        <item x="37"/>
        <item x="203"/>
        <item x="119"/>
        <item x="13"/>
        <item x="288"/>
        <item x="152"/>
        <item x="134"/>
        <item x="39"/>
        <item x="329"/>
        <item x="362"/>
        <item x="46"/>
        <item x="267"/>
        <item x="270"/>
        <item x="96"/>
        <item x="108"/>
        <item x="314"/>
        <item x="87"/>
        <item x="308"/>
        <item x="315"/>
        <item x="171"/>
        <item x="332"/>
        <item x="330"/>
        <item x="216"/>
        <item x="325"/>
        <item x="291"/>
        <item x="360"/>
        <item x="239"/>
        <item x="305"/>
        <item x="117"/>
        <item x="161"/>
        <item x="251"/>
        <item x="226"/>
        <item x="357"/>
        <item x="355"/>
        <item x="249"/>
        <item x="14"/>
        <item x="93"/>
        <item x="328"/>
        <item x="290"/>
        <item x="327"/>
        <item x="238"/>
        <item x="91"/>
        <item x="241"/>
        <item x="168"/>
        <item x="304"/>
      </items>
    </pivotField>
    <pivotField name="Categoría" showAll="0" sortType="ascending" defaultSubtotal="0">
      <items count="28">
        <item x="0"/>
        <item x="1"/>
        <item x="2"/>
        <item x="3"/>
        <item x="4"/>
        <item x="5"/>
        <item x="6"/>
        <item x="7"/>
        <item x="12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ame="Categoría de productos" axis="axisRow" showAll="0" defaultSubtotal="0">
      <items count="4">
        <item n="Otros" sd="0" x="3"/>
        <item x="0"/>
        <item x="1"/>
        <item x="2"/>
      </items>
    </pivotField>
  </pivotFields>
  <rowFields count="1">
    <field x="9"/>
  </rowFields>
  <rowItems count="4">
    <i>
      <x/>
    </i>
    <i>
      <x v="1"/>
    </i>
    <i>
      <x v="2"/>
    </i>
    <i>
      <x v="3"/>
    </i>
  </rowItems>
  <colItems count="1">
    <i/>
  </colItems>
  <dataFields count="1">
    <dataField name="Cantidad vendida total" fld="1" baseField="0" baseItem="0"/>
  </dataFields>
  <formats count="1">
    <format dxfId="2">
      <pivotArea grandRow="1" outline="0" collapsedLevelsAreSubtotals="1" fieldPosition="0"/>
    </format>
  </formats>
  <chartFormats count="10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1" format="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1" format="4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1" format="5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9" count="1" selected="0">
            <x v="0"/>
          </reference>
        </references>
      </pivotArea>
    </chartFormat>
    <chartFormat chart="5" format="13">
      <pivotArea type="data" outline="0" fieldPosition="0">
        <references count="2">
          <reference field="4294967294" count="1" selected="0">
            <x v="0"/>
          </reference>
          <reference field="9" count="1" selected="0">
            <x v="1"/>
          </reference>
        </references>
      </pivotArea>
    </chartFormat>
    <chartFormat chart="5" format="14">
      <pivotArea type="data" outline="0" fieldPosition="0">
        <references count="2">
          <reference field="4294967294" count="1" selected="0">
            <x v="0"/>
          </reference>
          <reference field="9" count="1" selected="0">
            <x v="2"/>
          </reference>
        </references>
      </pivotArea>
    </chartFormat>
    <chartFormat chart="5" format="15">
      <pivotArea type="data" outline="0" fieldPosition="0">
        <references count="2">
          <reference field="4294967294" count="1" selected="0">
            <x v="0"/>
          </reference>
          <reference field="9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D92DF9-DD6E-4BA7-99B1-CC0FC9BE2EDD}" name="TablaDinámica6" cacheId="0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6" indent="0" compact="0" compactData="0" multipleFieldFilters="0" chartFormat="4">
  <location ref="A110:B115" firstHeaderRow="1" firstDataRow="1" firstDataCol="1"/>
  <pivotFields count="10">
    <pivotField compact="0" outline="0" showAll="0" defaultSubtotal="0"/>
    <pivotField dataField="1" compact="0" outline="0" showAll="0" sortType="descending" defaultSubtotal="0">
      <items count="411">
        <item x="146"/>
        <item x="79"/>
        <item x="29"/>
        <item x="80"/>
        <item x="147"/>
        <item x="148"/>
        <item x="129"/>
        <item x="30"/>
        <item x="31"/>
        <item x="81"/>
        <item x="207"/>
        <item x="253"/>
        <item x="160"/>
        <item x="109"/>
        <item x="161"/>
        <item x="241"/>
        <item x="393"/>
        <item x="194"/>
        <item x="208"/>
        <item x="48"/>
        <item x="32"/>
        <item x="242"/>
        <item x="394"/>
        <item x="130"/>
        <item x="149"/>
        <item x="162"/>
        <item x="163"/>
        <item x="150"/>
        <item x="49"/>
        <item x="90"/>
        <item x="0"/>
        <item x="151"/>
        <item x="268"/>
        <item x="269"/>
        <item x="50"/>
        <item x="209"/>
        <item x="51"/>
        <item x="91"/>
        <item x="33"/>
        <item x="243"/>
        <item x="92"/>
        <item x="210"/>
        <item x="152"/>
        <item x="82"/>
        <item x="34"/>
        <item x="35"/>
        <item x="179"/>
        <item x="211"/>
        <item x="164"/>
        <item x="52"/>
        <item x="53"/>
        <item x="270"/>
        <item x="254"/>
        <item x="271"/>
        <item x="212"/>
        <item x="36"/>
        <item x="93"/>
        <item x="180"/>
        <item x="110"/>
        <item x="54"/>
        <item x="213"/>
        <item x="55"/>
        <item x="37"/>
        <item x="111"/>
        <item x="112"/>
        <item x="113"/>
        <item x="56"/>
        <item x="375"/>
        <item x="181"/>
        <item x="83"/>
        <item x="244"/>
        <item x="182"/>
        <item x="114"/>
        <item x="57"/>
        <item x="38"/>
        <item x="183"/>
        <item x="94"/>
        <item x="95"/>
        <item x="1"/>
        <item x="184"/>
        <item x="245"/>
        <item x="131"/>
        <item x="272"/>
        <item x="132"/>
        <item x="224"/>
        <item x="195"/>
        <item x="214"/>
        <item x="395"/>
        <item x="96"/>
        <item x="15"/>
        <item x="334"/>
        <item x="273"/>
        <item x="97"/>
        <item x="225"/>
        <item x="185"/>
        <item x="246"/>
        <item x="247"/>
        <item x="58"/>
        <item x="215"/>
        <item x="255"/>
        <item x="216"/>
        <item x="226"/>
        <item x="153"/>
        <item x="39"/>
        <item x="227"/>
        <item x="186"/>
        <item x="59"/>
        <item x="196"/>
        <item x="133"/>
        <item x="197"/>
        <item x="217"/>
        <item x="98"/>
        <item x="60"/>
        <item x="218"/>
        <item x="321"/>
        <item x="40"/>
        <item x="187"/>
        <item x="396"/>
        <item x="84"/>
        <item x="2"/>
        <item x="165"/>
        <item x="362"/>
        <item x="256"/>
        <item x="61"/>
        <item x="303"/>
        <item x="99"/>
        <item x="257"/>
        <item x="16"/>
        <item x="115"/>
        <item x="62"/>
        <item x="17"/>
        <item x="397"/>
        <item x="100"/>
        <item x="248"/>
        <item x="228"/>
        <item x="363"/>
        <item x="134"/>
        <item x="249"/>
        <item x="41"/>
        <item x="229"/>
        <item x="101"/>
        <item x="116"/>
        <item x="274"/>
        <item x="250"/>
        <item x="166"/>
        <item x="230"/>
        <item x="102"/>
        <item x="167"/>
        <item x="67"/>
        <item x="364"/>
        <item x="3"/>
        <item x="117"/>
        <item x="258"/>
        <item x="188"/>
        <item x="275"/>
        <item x="154"/>
        <item x="276"/>
        <item x="259"/>
        <item x="231"/>
        <item x="376"/>
        <item x="251"/>
        <item x="322"/>
        <item x="118"/>
        <item x="189"/>
        <item x="335"/>
        <item x="63"/>
        <item x="168"/>
        <item x="64"/>
        <item x="135"/>
        <item x="304"/>
        <item x="323"/>
        <item x="260"/>
        <item x="232"/>
        <item x="42"/>
        <item x="261"/>
        <item x="324"/>
        <item x="43"/>
        <item x="398"/>
        <item x="377"/>
        <item x="103"/>
        <item x="18"/>
        <item x="169"/>
        <item x="85"/>
        <item x="44"/>
        <item x="198"/>
        <item x="282"/>
        <item x="45"/>
        <item x="119"/>
        <item x="325"/>
        <item x="233"/>
        <item x="378"/>
        <item x="262"/>
        <item x="290"/>
        <item x="283"/>
        <item x="120"/>
        <item x="4"/>
        <item x="5"/>
        <item x="170"/>
        <item x="65"/>
        <item x="6"/>
        <item x="121"/>
        <item x="379"/>
        <item x="122"/>
        <item x="326"/>
        <item x="123"/>
        <item x="136"/>
        <item x="137"/>
        <item x="327"/>
        <item x="328"/>
        <item x="7"/>
        <item x="329"/>
        <item x="171"/>
        <item x="66"/>
        <item x="172"/>
        <item x="8"/>
        <item x="155"/>
        <item x="234"/>
        <item x="138"/>
        <item x="365"/>
        <item x="9"/>
        <item x="199"/>
        <item x="402"/>
        <item x="124"/>
        <item x="380"/>
        <item x="200"/>
        <item x="366"/>
        <item x="330"/>
        <item x="46"/>
        <item x="277"/>
        <item x="331"/>
        <item x="219"/>
        <item x="139"/>
        <item x="367"/>
        <item x="86"/>
        <item x="140"/>
        <item x="125"/>
        <item x="47"/>
        <item x="381"/>
        <item x="278"/>
        <item x="141"/>
        <item x="399"/>
        <item x="173"/>
        <item x="142"/>
        <item x="263"/>
        <item x="382"/>
        <item x="201"/>
        <item x="143"/>
        <item x="284"/>
        <item x="126"/>
        <item x="174"/>
        <item x="156"/>
        <item x="202"/>
        <item x="264"/>
        <item x="19"/>
        <item x="104"/>
        <item x="175"/>
        <item x="157"/>
        <item x="190"/>
        <item x="176"/>
        <item x="235"/>
        <item x="291"/>
        <item x="400"/>
        <item x="158"/>
        <item x="20"/>
        <item x="336"/>
        <item x="236"/>
        <item x="292"/>
        <item x="337"/>
        <item x="305"/>
        <item x="368"/>
        <item x="293"/>
        <item x="105"/>
        <item x="177"/>
        <item x="127"/>
        <item x="252"/>
        <item x="285"/>
        <item x="279"/>
        <item x="106"/>
        <item x="332"/>
        <item x="10"/>
        <item x="144"/>
        <item x="237"/>
        <item x="145"/>
        <item x="369"/>
        <item x="383"/>
        <item x="403"/>
        <item x="191"/>
        <item x="294"/>
        <item x="238"/>
        <item x="384"/>
        <item x="192"/>
        <item x="68"/>
        <item x="280"/>
        <item x="87"/>
        <item x="370"/>
        <item x="128"/>
        <item x="11"/>
        <item x="306"/>
        <item x="385"/>
        <item x="386"/>
        <item x="295"/>
        <item x="220"/>
        <item x="387"/>
        <item x="338"/>
        <item x="12"/>
        <item x="388"/>
        <item x="88"/>
        <item x="404"/>
        <item x="296"/>
        <item x="221"/>
        <item x="371"/>
        <item x="193"/>
        <item x="389"/>
        <item x="339"/>
        <item x="340"/>
        <item x="401"/>
        <item x="69"/>
        <item x="307"/>
        <item x="341"/>
        <item x="286"/>
        <item x="222"/>
        <item x="287"/>
        <item x="308"/>
        <item x="70"/>
        <item x="203"/>
        <item x="342"/>
        <item x="21"/>
        <item x="265"/>
        <item x="390"/>
        <item x="13"/>
        <item x="391"/>
        <item x="71"/>
        <item x="159"/>
        <item x="22"/>
        <item x="297"/>
        <item x="343"/>
        <item x="223"/>
        <item x="298"/>
        <item x="239"/>
        <item x="281"/>
        <item x="288"/>
        <item x="107"/>
        <item x="240"/>
        <item x="392"/>
        <item x="372"/>
        <item x="289"/>
        <item x="266"/>
        <item x="204"/>
        <item x="309"/>
        <item x="14"/>
        <item x="310"/>
        <item x="311"/>
        <item x="312"/>
        <item x="23"/>
        <item x="299"/>
        <item x="267"/>
        <item x="344"/>
        <item x="178"/>
        <item x="351"/>
        <item x="345"/>
        <item x="346"/>
        <item x="352"/>
        <item x="205"/>
        <item x="300"/>
        <item x="313"/>
        <item x="405"/>
        <item x="314"/>
        <item x="206"/>
        <item x="315"/>
        <item x="406"/>
        <item x="407"/>
        <item x="89"/>
        <item x="408"/>
        <item x="316"/>
        <item x="347"/>
        <item x="72"/>
        <item x="353"/>
        <item x="73"/>
        <item x="348"/>
        <item x="317"/>
        <item x="373"/>
        <item x="301"/>
        <item x="354"/>
        <item x="302"/>
        <item x="355"/>
        <item x="24"/>
        <item x="356"/>
        <item x="318"/>
        <item x="319"/>
        <item x="349"/>
        <item x="409"/>
        <item x="320"/>
        <item x="333"/>
        <item x="374"/>
        <item x="410"/>
        <item x="74"/>
        <item x="25"/>
        <item x="350"/>
        <item x="75"/>
        <item x="357"/>
        <item x="26"/>
        <item x="358"/>
        <item x="27"/>
        <item x="359"/>
        <item x="76"/>
        <item x="77"/>
        <item x="360"/>
        <item x="78"/>
        <item x="28"/>
        <item x="361"/>
        <item x="108"/>
      </items>
    </pivotField>
    <pivotField compact="0" outline="0" showAll="0" defaultSubtotal="0">
      <items count="529">
        <item x="246"/>
        <item x="242"/>
        <item x="224"/>
        <item x="222"/>
        <item x="420"/>
        <item x="394"/>
        <item x="173"/>
        <item x="169"/>
        <item x="55"/>
        <item x="30"/>
        <item x="346"/>
        <item x="40"/>
        <item x="113"/>
        <item x="518"/>
        <item x="507"/>
        <item x="525"/>
        <item x="93"/>
        <item x="263"/>
        <item x="54"/>
        <item x="53"/>
        <item x="47"/>
        <item x="8"/>
        <item x="5"/>
        <item x="6"/>
        <item x="63"/>
        <item x="73"/>
        <item x="74"/>
        <item x="64"/>
        <item x="59"/>
        <item x="66"/>
        <item x="62"/>
        <item x="72"/>
        <item x="71"/>
        <item x="61"/>
        <item x="70"/>
        <item x="75"/>
        <item x="68"/>
        <item x="60"/>
        <item x="67"/>
        <item x="479"/>
        <item x="306"/>
        <item x="308"/>
        <item x="307"/>
        <item x="153"/>
        <item x="358"/>
        <item x="160"/>
        <item x="385"/>
        <item x="97"/>
        <item x="345"/>
        <item x="7"/>
        <item x="342"/>
        <item x="286"/>
        <item x="285"/>
        <item x="377"/>
        <item x="305"/>
        <item x="176"/>
        <item x="304"/>
        <item x="301"/>
        <item x="197"/>
        <item x="199"/>
        <item x="303"/>
        <item x="166"/>
        <item x="189"/>
        <item x="180"/>
        <item x="292"/>
        <item x="300"/>
        <item x="157"/>
        <item x="276"/>
        <item x="504"/>
        <item x="498"/>
        <item x="274"/>
        <item x="337"/>
        <item x="91"/>
        <item x="87"/>
        <item x="92"/>
        <item x="96"/>
        <item x="90"/>
        <item x="519"/>
        <item x="136"/>
        <item x="526"/>
        <item x="278"/>
        <item x="515"/>
        <item x="431"/>
        <item x="433"/>
        <item x="444"/>
        <item x="232"/>
        <item x="230"/>
        <item x="22"/>
        <item x="219"/>
        <item x="227"/>
        <item x="221"/>
        <item x="214"/>
        <item x="223"/>
        <item x="489"/>
        <item x="352"/>
        <item x="493"/>
        <item x="492"/>
        <item x="33"/>
        <item x="365"/>
        <item x="36"/>
        <item x="367"/>
        <item x="135"/>
        <item x="39"/>
        <item x="57"/>
        <item x="506"/>
        <item x="107"/>
        <item x="273"/>
        <item x="245"/>
        <item x="327"/>
        <item x="241"/>
        <item x="425"/>
        <item x="12"/>
        <item x="380"/>
        <item x="42"/>
        <item x="43"/>
        <item x="41"/>
        <item x="51"/>
        <item x="175"/>
        <item x="183"/>
        <item x="473"/>
        <item x="168"/>
        <item x="145"/>
        <item x="109"/>
        <item x="441"/>
        <item x="147"/>
        <item x="299"/>
        <item x="104"/>
        <item x="360"/>
        <item x="347"/>
        <item x="114"/>
        <item x="416"/>
        <item x="424"/>
        <item x="429"/>
        <item x="397"/>
        <item x="396"/>
        <item x="392"/>
        <item x="523"/>
        <item x="511"/>
        <item x="522"/>
        <item x="359"/>
        <item x="350"/>
        <item x="374"/>
        <item x="335"/>
        <item x="514"/>
        <item x="517"/>
        <item x="472"/>
        <item x="484"/>
        <item x="11"/>
        <item x="2"/>
        <item x="412"/>
        <item x="379"/>
        <item x="178"/>
        <item x="177"/>
        <item x="182"/>
        <item x="186"/>
        <item x="321"/>
        <item x="520"/>
        <item x="277"/>
        <item x="402"/>
        <item x="432"/>
        <item x="158"/>
        <item x="225"/>
        <item x="228"/>
        <item x="437"/>
        <item x="37"/>
        <item x="34"/>
        <item x="370"/>
        <item x="362"/>
        <item x="435"/>
        <item x="313"/>
        <item x="418"/>
        <item x="218"/>
        <item x="216"/>
        <item x="49"/>
        <item x="205"/>
        <item x="202"/>
        <item x="187"/>
        <item x="193"/>
        <item x="134"/>
        <item x="17"/>
        <item x="15"/>
        <item x="376"/>
        <item x="220"/>
        <item x="52"/>
        <item x="56"/>
        <item x="138"/>
        <item x="466"/>
        <item x="459"/>
        <item x="467"/>
        <item x="458"/>
        <item x="461"/>
        <item x="195"/>
        <item x="513"/>
        <item x="510"/>
        <item x="207"/>
        <item x="196"/>
        <item x="341"/>
        <item x="217"/>
        <item x="326"/>
        <item x="372"/>
        <item x="453"/>
        <item x="343"/>
        <item x="287"/>
        <item x="25"/>
        <item x="23"/>
        <item x="317"/>
        <item x="19"/>
        <item x="315"/>
        <item x="31"/>
        <item x="110"/>
        <item x="28"/>
        <item x="29"/>
        <item x="282"/>
        <item x="117"/>
        <item x="521"/>
        <item x="226"/>
        <item x="328"/>
        <item x="204"/>
        <item x="203"/>
        <item x="211"/>
        <item x="206"/>
        <item x="201"/>
        <item x="194"/>
        <item x="200"/>
        <item x="213"/>
        <item x="407"/>
        <item x="406"/>
        <item x="331"/>
        <item x="404"/>
        <item x="401"/>
        <item x="405"/>
        <item x="403"/>
        <item x="132"/>
        <item x="410"/>
        <item x="411"/>
        <item x="188"/>
        <item x="101"/>
        <item x="108"/>
        <item x="106"/>
        <item x="18"/>
        <item x="527"/>
        <item x="181"/>
        <item x="4"/>
        <item x="349"/>
        <item x="155"/>
        <item x="338"/>
        <item x="26"/>
        <item x="426"/>
        <item x="440"/>
        <item x="524"/>
        <item x="334"/>
        <item x="111"/>
        <item x="122"/>
        <item x="118"/>
        <item x="128"/>
        <item x="46"/>
        <item x="427"/>
        <item x="421"/>
        <item x="428"/>
        <item x="419"/>
        <item x="423"/>
        <item x="436"/>
        <item x="422"/>
        <item x="89"/>
        <item x="275"/>
        <item x="231"/>
        <item x="475"/>
        <item x="262"/>
        <item x="470"/>
        <item x="462"/>
        <item x="460"/>
        <item x="463"/>
        <item x="20"/>
        <item x="21"/>
        <item x="264"/>
        <item x="391"/>
        <item x="400"/>
        <item x="393"/>
        <item x="209"/>
        <item x="149"/>
        <item x="112"/>
        <item x="116"/>
        <item x="69"/>
        <item x="48"/>
        <item x="45"/>
        <item x="269"/>
        <item x="323"/>
        <item x="210"/>
        <item x="184"/>
        <item x="355"/>
        <item x="272"/>
        <item x="236"/>
        <item x="364"/>
        <item x="249"/>
        <item x="248"/>
        <item x="198"/>
        <item x="356"/>
        <item x="280"/>
        <item x="85"/>
        <item x="80"/>
        <item x="84"/>
        <item x="88"/>
        <item x="94"/>
        <item x="86"/>
        <item x="83"/>
        <item x="82"/>
        <item x="179"/>
        <item x="251"/>
        <item x="413"/>
        <item x="164"/>
        <item x="163"/>
        <item x="281"/>
        <item x="491"/>
        <item x="502"/>
        <item x="283"/>
        <item x="127"/>
        <item x="1"/>
        <item x="455"/>
        <item x="456"/>
        <item x="119"/>
        <item x="125"/>
        <item x="126"/>
        <item x="130"/>
        <item x="58"/>
        <item x="76"/>
        <item x="77"/>
        <item x="121"/>
        <item x="452"/>
        <item x="81"/>
        <item x="3"/>
        <item x="434"/>
        <item x="483"/>
        <item x="373"/>
        <item x="247"/>
        <item x="124"/>
        <item x="487"/>
        <item x="344"/>
        <item x="351"/>
        <item x="496"/>
        <item x="482"/>
        <item x="120"/>
        <item x="131"/>
        <item x="133"/>
        <item x="325"/>
        <item x="289"/>
        <item x="288"/>
        <item x="417"/>
        <item x="185"/>
        <item x="361"/>
        <item x="143"/>
        <item x="284"/>
        <item x="312"/>
        <item x="78"/>
        <item x="471"/>
        <item x="297"/>
        <item x="215"/>
        <item x="229"/>
        <item x="32"/>
        <item x="35"/>
        <item x="322"/>
        <item x="102"/>
        <item x="103"/>
        <item x="414"/>
        <item x="142"/>
        <item x="208"/>
        <item x="146"/>
        <item x="148"/>
        <item x="140"/>
        <item x="154"/>
        <item x="512"/>
        <item x="65"/>
        <item x="457"/>
        <item x="139"/>
        <item x="332"/>
        <item x="95"/>
        <item x="383"/>
        <item x="398"/>
        <item x="384"/>
        <item x="395"/>
        <item x="381"/>
        <item x="389"/>
        <item x="390"/>
        <item x="386"/>
        <item x="388"/>
        <item x="481"/>
        <item x="478"/>
        <item x="212"/>
        <item x="115"/>
        <item x="105"/>
        <item x="99"/>
        <item x="100"/>
        <item x="191"/>
        <item x="98"/>
        <item x="357"/>
        <item x="250"/>
        <item x="348"/>
        <item x="324"/>
        <item x="469"/>
        <item x="465"/>
        <item x="476"/>
        <item x="474"/>
        <item x="468"/>
        <item x="464"/>
        <item x="162"/>
        <item x="170"/>
        <item x="165"/>
        <item x="171"/>
        <item x="79"/>
        <item x="10"/>
        <item x="150"/>
        <item x="144"/>
        <item x="156"/>
        <item x="38"/>
        <item x="151"/>
        <item x="152"/>
        <item x="141"/>
        <item x="137"/>
        <item x="509"/>
        <item x="516"/>
        <item x="415"/>
        <item x="319"/>
        <item x="9"/>
        <item x="294"/>
        <item x="368"/>
        <item x="430"/>
        <item x="310"/>
        <item x="309"/>
        <item x="329"/>
        <item x="333"/>
        <item x="387"/>
        <item x="0"/>
        <item x="302"/>
        <item x="172"/>
        <item x="382"/>
        <item x="24"/>
        <item x="336"/>
        <item x="293"/>
        <item x="363"/>
        <item x="296"/>
        <item x="378"/>
        <item x="295"/>
        <item x="298"/>
        <item x="13"/>
        <item x="14"/>
        <item x="16"/>
        <item x="443"/>
        <item x="500"/>
        <item x="260"/>
        <item x="259"/>
        <item x="257"/>
        <item x="258"/>
        <item x="256"/>
        <item x="265"/>
        <item x="255"/>
        <item x="266"/>
        <item x="501"/>
        <item x="318"/>
        <item x="320"/>
        <item x="314"/>
        <item x="311"/>
        <item x="316"/>
        <item x="27"/>
        <item x="234"/>
        <item x="161"/>
        <item x="244"/>
        <item x="237"/>
        <item x="240"/>
        <item x="239"/>
        <item x="238"/>
        <item x="442"/>
        <item x="449"/>
        <item x="445"/>
        <item x="438"/>
        <item x="375"/>
        <item x="369"/>
        <item x="339"/>
        <item x="503"/>
        <item x="499"/>
        <item x="505"/>
        <item x="254"/>
        <item x="233"/>
        <item x="399"/>
        <item x="330"/>
        <item x="477"/>
        <item x="129"/>
        <item x="123"/>
        <item x="190"/>
        <item x="192"/>
        <item x="271"/>
        <item x="279"/>
        <item x="340"/>
        <item x="497"/>
        <item x="261"/>
        <item x="243"/>
        <item x="253"/>
        <item x="252"/>
        <item x="446"/>
        <item x="447"/>
        <item x="366"/>
        <item x="371"/>
        <item x="409"/>
        <item x="408"/>
        <item x="528"/>
        <item x="439"/>
        <item x="451"/>
        <item x="448"/>
        <item x="450"/>
        <item x="354"/>
        <item x="454"/>
        <item x="290"/>
        <item x="508"/>
        <item x="270"/>
        <item x="235"/>
        <item x="159"/>
        <item x="174"/>
        <item x="167"/>
        <item x="50"/>
        <item x="44"/>
        <item x="291"/>
        <item x="267"/>
        <item x="495"/>
        <item x="490"/>
        <item x="485"/>
        <item x="480"/>
        <item x="268"/>
        <item x="488"/>
        <item x="494"/>
        <item x="486"/>
        <item x="353"/>
      </items>
    </pivotField>
    <pivotField name="Rango de preciod de los items más vendidos" axis="axisRow" compact="0" outline="0" showAll="0" sortType="ascending" defaultSubtotal="0">
      <items count="12">
        <item n="$1.001.990 - $2.001.989" x="2"/>
        <item n="$1990 - $1.001.989" x="1"/>
        <item n="$2.001.990 - $3.001.989" x="3"/>
        <item n="$3.001.990 - $4.001.989" x="4"/>
        <item n="$4.001.990 - $5.001.989" x="5"/>
        <item h="1" x="0"/>
        <item h="1" x="11"/>
        <item h="1" x="6"/>
        <item h="1" x="7"/>
        <item h="1" x="8"/>
        <item h="1" x="9"/>
        <item h="1" x="1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numFmtId="14" outline="0" showAll="0" defaultSubtotal="0"/>
    <pivotField compact="0" outline="0" showAll="0" defaultSubtotal="0"/>
    <pivotField compact="0" outline="0" showAll="0" defaultSubtotal="0">
      <items count="28">
        <item x="0"/>
        <item x="1"/>
        <item x="2"/>
        <item x="3"/>
        <item x="4"/>
        <item x="5"/>
        <item x="6"/>
        <item x="7"/>
        <item x="12"/>
        <item x="8"/>
        <item x="9"/>
        <item x="10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</items>
    </pivotField>
    <pivotField compact="0" outline="0" showAll="0" defaultSubtotal="0"/>
    <pivotField compact="0" outline="0" showAll="0" defaultSubtotal="0">
      <items count="2">
        <item x="1"/>
        <item h="1" x="0"/>
      </items>
    </pivotField>
    <pivotField compact="0" outline="0" showAll="0" defaultSubtotal="0">
      <items count="4">
        <item x="0"/>
        <item x="1"/>
        <item x="2"/>
        <item x="3"/>
      </items>
    </pivotField>
  </pivotFields>
  <rowFields count="1">
    <field x="3"/>
  </rowFields>
  <rowItems count="5">
    <i>
      <x v="4"/>
    </i>
    <i>
      <x v="2"/>
    </i>
    <i>
      <x/>
    </i>
    <i>
      <x v="1"/>
    </i>
    <i>
      <x v="3"/>
    </i>
  </rowItems>
  <colItems count="1">
    <i/>
  </colItems>
  <dataFields count="1">
    <dataField name="Promedio de ventas" fld="1" subtotal="average" baseField="3" baseItem="1" numFmtId="164"/>
  </dataFields>
  <formats count="2">
    <format dxfId="4">
      <pivotArea dataOnly="0" labelOnly="1" outline="0" fieldPosition="0">
        <references count="1">
          <reference field="3" count="4">
            <x v="0"/>
            <x v="1"/>
            <x v="2"/>
            <x v="10"/>
          </reference>
        </references>
      </pivotArea>
    </format>
    <format dxfId="3">
      <pivotArea outline="0" collapsedLevelsAreSubtotals="1" fieldPosition="0"/>
    </format>
  </format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3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3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B824B4E1-41B4-423F-B552-B421464B68A6}" autoFormatId="16" applyNumberFormats="0" applyBorderFormats="0" applyFontFormats="0" applyPatternFormats="0" applyAlignmentFormats="0" applyWidthHeightFormats="0">
  <queryTableRefresh nextId="10">
    <queryTableFields count="9">
      <queryTableField id="1" name="id" tableColumnId="1"/>
      <queryTableField id="2" name="sold_quantity" tableColumnId="2"/>
      <queryTableField id="3" name="name" tableColumnId="3"/>
      <queryTableField id="4" name="price" tableColumnId="4"/>
      <queryTableField id="5" name="date_created" tableColumnId="5"/>
      <queryTableField id="9" dataBound="0" tableColumnId="9"/>
      <queryTableField id="6" name="category_name" tableColumnId="6"/>
      <queryTableField id="7" name="category_id" tableColumnId="7"/>
      <queryTableField id="8" name="entity_type" tableColumnId="8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category_name" xr10:uid="{64164F1E-D644-4D07-AAF7-9DA1899D3989}" sourceName="category_name">
  <pivotTables>
    <pivotTable tabId="2" name="TablaDinámica3"/>
  </pivotTables>
  <data>
    <tabular pivotCacheId="2131725427">
      <items count="28">
        <i x="0" s="1"/>
        <i x="1" s="1"/>
        <i x="2" s="1"/>
        <i x="3" s="1"/>
        <i x="4" s="1"/>
        <i x="5" s="1"/>
        <i x="6" s="1"/>
        <i x="7" s="1"/>
        <i x="12" s="1"/>
        <i x="8" s="1"/>
        <i x="9" s="1"/>
        <i x="10" s="1"/>
        <i x="11" s="1"/>
        <i x="13" s="1"/>
        <i x="14" s="1"/>
        <i x="15" s="1"/>
        <i x="16" s="1"/>
        <i x="17" s="1"/>
        <i x="18" s="1"/>
        <i x="19" s="1"/>
        <i x="20" s="1"/>
        <i x="21" s="1"/>
        <i x="22" s="1"/>
        <i x="23" s="1"/>
        <i x="24" s="1"/>
        <i x="25" s="1"/>
        <i x="26" s="1"/>
        <i x="27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s" xr10:uid="{684E0C20-4C99-487C-AE2F-4A5C10925DB1}" cache="SegmentaciónDeDatos_category_name" caption="Categorías" style="estilo 1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ías 1" xr10:uid="{7F44CBB2-0769-4AB6-ABD6-4E41FEF8BE31}" cache="SegmentaciónDeDatos_category_name" caption="Categorías" startItem="1" style="estilo 1" rowHeight="2349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EBCF574-7650-4745-90ED-80464ACD89DA}" name="meli" displayName="meli" ref="A1:I532" tableType="queryTable" totalsRowShown="0">
  <autoFilter ref="A1:I532" xr:uid="{805B4B60-072D-494C-BA3C-805728A0D06D}"/>
  <tableColumns count="9">
    <tableColumn id="1" xr3:uid="{C693D114-0D3B-48E8-8C59-A8F0448DA184}" uniqueName="1" name="id" queryTableFieldId="1"/>
    <tableColumn id="2" xr3:uid="{1DD8DFA9-4772-4B2F-B78D-3CB02A3DF83E}" uniqueName="2" name="sold_quantity" queryTableFieldId="2"/>
    <tableColumn id="3" xr3:uid="{C4358054-F883-4A1F-B724-FA8941FDD8E5}" uniqueName="3" name="name" queryTableFieldId="3"/>
    <tableColumn id="4" xr3:uid="{F42916C3-B519-4C46-B272-E580AC55CE0D}" uniqueName="4" name="price" queryTableFieldId="4"/>
    <tableColumn id="5" xr3:uid="{ADC02F26-6F2F-4505-AF8D-8E64EC01547F}" uniqueName="5" name="date_created" queryTableFieldId="5" dataDxfId="6"/>
    <tableColumn id="9" xr3:uid="{CB59AF54-9409-44FD-9713-CFE190952CB4}" uniqueName="9" name="creation_time" queryTableFieldId="9" dataDxfId="5">
      <calculatedColumnFormula>+TEXT(meli[[#This Row],[date_created]],"HH:MM")</calculatedColumnFormula>
    </tableColumn>
    <tableColumn id="6" xr3:uid="{A809275B-7DD2-45DB-A81F-5703382B4379}" uniqueName="6" name="category_name" queryTableFieldId="6"/>
    <tableColumn id="7" xr3:uid="{8093D8F1-C93F-4A57-8802-7E1ED95FEE5B}" uniqueName="7" name="category_id" queryTableFieldId="7"/>
    <tableColumn id="8" xr3:uid="{5325CCD1-646C-49B8-98B7-01AD573C8A9B}" uniqueName="8" name="entity_type" queryTableFieldId="8"/>
  </tableColumns>
  <tableStyleInfo name="TableStyleMedium5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microsoft.com/office/2007/relationships/slicer" Target="../slicers/slicer1.xml"/><Relationship Id="rId3" Type="http://schemas.openxmlformats.org/officeDocument/2006/relationships/pivotTable" Target="../pivotTables/pivotTable3.xml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0C186E-7690-4EA2-A327-D9A21C0FBFC9}">
  <sheetPr codeName="Hoja1">
    <tabColor rgb="FFFFFF99"/>
  </sheetPr>
  <dimension ref="A1:I532"/>
  <sheetViews>
    <sheetView showGridLines="0" tabSelected="1" workbookViewId="0">
      <selection activeCell="E11" sqref="E11"/>
    </sheetView>
  </sheetViews>
  <sheetFormatPr baseColWidth="10" defaultRowHeight="14.4" x14ac:dyDescent="0.3"/>
  <cols>
    <col min="1" max="1" width="14.6640625" bestFit="1" customWidth="1"/>
    <col min="2" max="2" width="14.77734375" bestFit="1" customWidth="1"/>
    <col min="3" max="3" width="80.88671875" bestFit="1" customWidth="1"/>
    <col min="4" max="4" width="8" bestFit="1" customWidth="1"/>
    <col min="5" max="5" width="15.5546875" style="2" bestFit="1" customWidth="1"/>
    <col min="6" max="6" width="15.5546875" customWidth="1"/>
    <col min="7" max="7" width="25.109375" bestFit="1" customWidth="1"/>
    <col min="8" max="8" width="13.109375" bestFit="1" customWidth="1"/>
    <col min="9" max="9" width="12.88671875" bestFit="1" customWidth="1"/>
  </cols>
  <sheetData>
    <row r="1" spans="1:9" x14ac:dyDescent="0.3">
      <c r="A1" t="s">
        <v>0</v>
      </c>
      <c r="B1" t="s">
        <v>1</v>
      </c>
      <c r="C1" t="s">
        <v>2</v>
      </c>
      <c r="D1" t="s">
        <v>3</v>
      </c>
      <c r="E1" s="2" t="s">
        <v>4</v>
      </c>
      <c r="F1" t="s">
        <v>1126</v>
      </c>
      <c r="G1" t="s">
        <v>5</v>
      </c>
      <c r="H1" t="s">
        <v>6</v>
      </c>
      <c r="I1" t="s">
        <v>7</v>
      </c>
    </row>
    <row r="2" spans="1:9" x14ac:dyDescent="0.3">
      <c r="A2" t="s">
        <v>8</v>
      </c>
      <c r="B2">
        <v>91440</v>
      </c>
      <c r="C2" t="s">
        <v>9</v>
      </c>
      <c r="D2">
        <v>1329867</v>
      </c>
      <c r="E2" s="2">
        <v>44720.466134259259</v>
      </c>
      <c r="F2" s="1" t="str">
        <f>+TEXT(meli[[#This Row],[date_created]],"HH:MM")</f>
        <v>11:11</v>
      </c>
      <c r="G2" t="s">
        <v>10</v>
      </c>
      <c r="H2" t="s">
        <v>11</v>
      </c>
      <c r="I2" t="s">
        <v>12</v>
      </c>
    </row>
    <row r="3" spans="1:9" x14ac:dyDescent="0.3">
      <c r="A3" t="s">
        <v>13</v>
      </c>
      <c r="B3">
        <v>53500</v>
      </c>
      <c r="C3" t="s">
        <v>14</v>
      </c>
      <c r="D3">
        <v>553860</v>
      </c>
      <c r="E3" s="2">
        <v>43677.704398148147</v>
      </c>
      <c r="F3" s="1" t="str">
        <f>+TEXT(meli[[#This Row],[date_created]],"HH:MM")</f>
        <v>16:54</v>
      </c>
      <c r="G3" t="s">
        <v>10</v>
      </c>
      <c r="H3" t="s">
        <v>11</v>
      </c>
      <c r="I3" t="s">
        <v>12</v>
      </c>
    </row>
    <row r="4" spans="1:9" x14ac:dyDescent="0.3">
      <c r="A4" t="s">
        <v>15</v>
      </c>
      <c r="B4">
        <v>33824</v>
      </c>
      <c r="C4" t="s">
        <v>16</v>
      </c>
      <c r="D4">
        <v>352000</v>
      </c>
      <c r="E4" s="2">
        <v>43972.596273148149</v>
      </c>
      <c r="F4" s="1" t="str">
        <f>+TEXT(meli[[#This Row],[date_created]],"HH:MM")</f>
        <v>14:18</v>
      </c>
      <c r="G4" t="s">
        <v>10</v>
      </c>
      <c r="H4" t="s">
        <v>11</v>
      </c>
      <c r="I4" t="s">
        <v>12</v>
      </c>
    </row>
    <row r="5" spans="1:9" x14ac:dyDescent="0.3">
      <c r="A5" t="s">
        <v>17</v>
      </c>
      <c r="B5">
        <v>21048</v>
      </c>
      <c r="C5" t="s">
        <v>18</v>
      </c>
      <c r="D5">
        <v>22160</v>
      </c>
      <c r="E5" s="2">
        <v>44902.452048611114</v>
      </c>
      <c r="F5" s="1" t="str">
        <f>+TEXT(meli[[#This Row],[date_created]],"HH:MM")</f>
        <v>10:50</v>
      </c>
      <c r="G5" t="s">
        <v>10</v>
      </c>
      <c r="H5" t="s">
        <v>11</v>
      </c>
      <c r="I5" t="s">
        <v>12</v>
      </c>
    </row>
    <row r="6" spans="1:9" x14ac:dyDescent="0.3">
      <c r="A6" t="s">
        <v>19</v>
      </c>
      <c r="B6">
        <v>13000</v>
      </c>
      <c r="C6" t="s">
        <v>20</v>
      </c>
      <c r="D6">
        <v>41990</v>
      </c>
      <c r="E6" s="2">
        <v>43596.759548611109</v>
      </c>
      <c r="F6" s="1" t="str">
        <f>+TEXT(meli[[#This Row],[date_created]],"HH:MM")</f>
        <v>18:13</v>
      </c>
      <c r="G6" t="s">
        <v>10</v>
      </c>
      <c r="H6" t="s">
        <v>11</v>
      </c>
      <c r="I6" t="s">
        <v>21</v>
      </c>
    </row>
    <row r="7" spans="1:9" x14ac:dyDescent="0.3">
      <c r="A7" t="s">
        <v>22</v>
      </c>
      <c r="B7">
        <v>12803</v>
      </c>
      <c r="C7" t="s">
        <v>23</v>
      </c>
      <c r="D7">
        <v>156200</v>
      </c>
      <c r="E7" s="2">
        <v>45013.748506944445</v>
      </c>
      <c r="F7" s="1" t="str">
        <f>+TEXT(meli[[#This Row],[date_created]],"HH:MM")</f>
        <v>17:57</v>
      </c>
      <c r="G7" t="s">
        <v>10</v>
      </c>
      <c r="H7" t="s">
        <v>11</v>
      </c>
      <c r="I7" t="s">
        <v>12</v>
      </c>
    </row>
    <row r="8" spans="1:9" x14ac:dyDescent="0.3">
      <c r="A8" t="s">
        <v>24</v>
      </c>
      <c r="B8">
        <v>12286</v>
      </c>
      <c r="C8" t="s">
        <v>25</v>
      </c>
      <c r="D8">
        <v>134900</v>
      </c>
      <c r="E8" s="2">
        <v>44830.690405092595</v>
      </c>
      <c r="F8" s="1" t="str">
        <f>+TEXT(meli[[#This Row],[date_created]],"HH:MM")</f>
        <v>16:34</v>
      </c>
      <c r="G8" t="s">
        <v>10</v>
      </c>
      <c r="H8" t="s">
        <v>11</v>
      </c>
      <c r="I8" t="s">
        <v>12</v>
      </c>
    </row>
    <row r="9" spans="1:9" x14ac:dyDescent="0.3">
      <c r="A9" t="s">
        <v>26</v>
      </c>
      <c r="B9">
        <v>11128</v>
      </c>
      <c r="C9" t="s">
        <v>27</v>
      </c>
      <c r="D9">
        <v>199990</v>
      </c>
      <c r="E9" s="2">
        <v>44859.424201388887</v>
      </c>
      <c r="F9" s="1" t="str">
        <f>+TEXT(meli[[#This Row],[date_created]],"HH:MM")</f>
        <v>10:10</v>
      </c>
      <c r="G9" t="s">
        <v>10</v>
      </c>
      <c r="H9" t="s">
        <v>11</v>
      </c>
      <c r="I9" t="s">
        <v>12</v>
      </c>
    </row>
    <row r="10" spans="1:9" x14ac:dyDescent="0.3">
      <c r="A10" t="s">
        <v>28</v>
      </c>
      <c r="B10">
        <v>10337</v>
      </c>
      <c r="C10" t="s">
        <v>29</v>
      </c>
      <c r="D10">
        <v>146890</v>
      </c>
      <c r="E10" s="2">
        <v>44837.518391203703</v>
      </c>
      <c r="F10" s="1" t="str">
        <f>+TEXT(meli[[#This Row],[date_created]],"HH:MM")</f>
        <v>12:26</v>
      </c>
      <c r="G10" t="s">
        <v>10</v>
      </c>
      <c r="H10" t="s">
        <v>11</v>
      </c>
      <c r="I10" t="s">
        <v>12</v>
      </c>
    </row>
    <row r="11" spans="1:9" x14ac:dyDescent="0.3">
      <c r="A11" t="s">
        <v>30</v>
      </c>
      <c r="B11">
        <v>9953</v>
      </c>
      <c r="C11" t="s">
        <v>31</v>
      </c>
      <c r="D11">
        <v>227890</v>
      </c>
      <c r="E11" s="2">
        <v>44830.690393518518</v>
      </c>
      <c r="F11" s="1" t="str">
        <f>+TEXT(meli[[#This Row],[date_created]],"HH:MM")</f>
        <v>16:34</v>
      </c>
      <c r="G11" t="s">
        <v>10</v>
      </c>
      <c r="H11" t="s">
        <v>11</v>
      </c>
      <c r="I11" t="s">
        <v>12</v>
      </c>
    </row>
    <row r="12" spans="1:9" x14ac:dyDescent="0.3">
      <c r="A12" t="s">
        <v>32</v>
      </c>
      <c r="B12">
        <v>5000</v>
      </c>
      <c r="C12" t="s">
        <v>33</v>
      </c>
      <c r="D12">
        <v>26300</v>
      </c>
      <c r="E12" s="2">
        <v>44432.506643518522</v>
      </c>
      <c r="F12" s="1" t="str">
        <f>+TEXT(meli[[#This Row],[date_created]],"HH:MM")</f>
        <v>12:09</v>
      </c>
      <c r="G12" t="s">
        <v>10</v>
      </c>
      <c r="H12" t="s">
        <v>11</v>
      </c>
      <c r="I12" t="s">
        <v>21</v>
      </c>
    </row>
    <row r="13" spans="1:9" x14ac:dyDescent="0.3">
      <c r="A13" t="s">
        <v>34</v>
      </c>
      <c r="B13">
        <v>5000</v>
      </c>
      <c r="C13" t="s">
        <v>35</v>
      </c>
      <c r="D13">
        <v>176230</v>
      </c>
      <c r="E13" s="2">
        <v>43957.4531712963</v>
      </c>
      <c r="F13" s="1" t="str">
        <f>+TEXT(meli[[#This Row],[date_created]],"HH:MM")</f>
        <v>10:52</v>
      </c>
      <c r="G13" t="s">
        <v>10</v>
      </c>
      <c r="H13" t="s">
        <v>11</v>
      </c>
      <c r="I13" t="s">
        <v>21</v>
      </c>
    </row>
    <row r="14" spans="1:9" x14ac:dyDescent="0.3">
      <c r="A14" t="s">
        <v>36</v>
      </c>
      <c r="B14">
        <v>5000</v>
      </c>
      <c r="C14" t="s">
        <v>37</v>
      </c>
      <c r="D14">
        <v>94990</v>
      </c>
      <c r="E14" s="2">
        <v>44215.801481481481</v>
      </c>
      <c r="F14" s="1" t="str">
        <f>+TEXT(meli[[#This Row],[date_created]],"HH:MM")</f>
        <v>19:14</v>
      </c>
      <c r="G14" t="s">
        <v>10</v>
      </c>
      <c r="H14" t="s">
        <v>11</v>
      </c>
      <c r="I14" t="s">
        <v>21</v>
      </c>
    </row>
    <row r="15" spans="1:9" x14ac:dyDescent="0.3">
      <c r="A15" t="s">
        <v>38</v>
      </c>
      <c r="B15">
        <v>5000</v>
      </c>
      <c r="C15" t="s">
        <v>39</v>
      </c>
      <c r="D15">
        <v>379990</v>
      </c>
      <c r="E15" s="2">
        <v>43664.785104166665</v>
      </c>
      <c r="F15" s="1" t="str">
        <f>+TEXT(meli[[#This Row],[date_created]],"HH:MM")</f>
        <v>18:50</v>
      </c>
      <c r="G15" t="s">
        <v>10</v>
      </c>
      <c r="H15" t="s">
        <v>11</v>
      </c>
      <c r="I15" t="s">
        <v>21</v>
      </c>
    </row>
    <row r="16" spans="1:9" x14ac:dyDescent="0.3">
      <c r="A16" t="s">
        <v>40</v>
      </c>
      <c r="B16">
        <v>5000</v>
      </c>
      <c r="C16" t="s">
        <v>41</v>
      </c>
      <c r="D16">
        <v>129990</v>
      </c>
      <c r="E16" s="2">
        <v>43999.843576388892</v>
      </c>
      <c r="F16" s="1" t="str">
        <f>+TEXT(meli[[#This Row],[date_created]],"HH:MM")</f>
        <v>20:14</v>
      </c>
      <c r="G16" t="s">
        <v>10</v>
      </c>
      <c r="H16" t="s">
        <v>11</v>
      </c>
      <c r="I16" t="s">
        <v>21</v>
      </c>
    </row>
    <row r="17" spans="1:9" x14ac:dyDescent="0.3">
      <c r="A17" t="s">
        <v>42</v>
      </c>
      <c r="B17">
        <v>4100</v>
      </c>
      <c r="C17" t="s">
        <v>43</v>
      </c>
      <c r="D17">
        <v>35910</v>
      </c>
      <c r="E17" s="2">
        <v>42419.948645833334</v>
      </c>
      <c r="F17" s="1" t="str">
        <f>+TEXT(meli[[#This Row],[date_created]],"HH:MM")</f>
        <v>22:46</v>
      </c>
      <c r="G17" t="s">
        <v>10</v>
      </c>
      <c r="H17" t="s">
        <v>11</v>
      </c>
      <c r="I17" t="s">
        <v>21</v>
      </c>
    </row>
    <row r="18" spans="1:9" x14ac:dyDescent="0.3">
      <c r="A18" t="s">
        <v>44</v>
      </c>
      <c r="B18">
        <v>3902</v>
      </c>
      <c r="C18" t="s">
        <v>45</v>
      </c>
      <c r="D18">
        <v>149990</v>
      </c>
      <c r="E18" s="2">
        <v>45065.804282407407</v>
      </c>
      <c r="F18" s="1" t="str">
        <f>+TEXT(meli[[#This Row],[date_created]],"HH:MM")</f>
        <v>19:18</v>
      </c>
      <c r="G18" t="s">
        <v>10</v>
      </c>
      <c r="H18" t="s">
        <v>11</v>
      </c>
      <c r="I18" t="s">
        <v>12</v>
      </c>
    </row>
    <row r="19" spans="1:9" x14ac:dyDescent="0.3">
      <c r="A19" t="s">
        <v>46</v>
      </c>
      <c r="B19">
        <v>2250</v>
      </c>
      <c r="C19" t="s">
        <v>47</v>
      </c>
      <c r="D19">
        <v>99990</v>
      </c>
      <c r="E19" s="2">
        <v>44356.62</v>
      </c>
      <c r="F19" s="1" t="str">
        <f>+TEXT(meli[[#This Row],[date_created]],"HH:MM")</f>
        <v>14:52</v>
      </c>
      <c r="G19" t="s">
        <v>10</v>
      </c>
      <c r="H19" t="s">
        <v>11</v>
      </c>
      <c r="I19" t="s">
        <v>21</v>
      </c>
    </row>
    <row r="20" spans="1:9" x14ac:dyDescent="0.3">
      <c r="A20" t="s">
        <v>48</v>
      </c>
      <c r="B20">
        <v>1450</v>
      </c>
      <c r="C20" t="s">
        <v>49</v>
      </c>
      <c r="D20">
        <v>54900</v>
      </c>
      <c r="E20" s="2">
        <v>45019.740532407406</v>
      </c>
      <c r="F20" s="1" t="str">
        <f>+TEXT(meli[[#This Row],[date_created]],"HH:MM")</f>
        <v>17:46</v>
      </c>
      <c r="G20" t="s">
        <v>10</v>
      </c>
      <c r="H20" t="s">
        <v>11</v>
      </c>
      <c r="I20" t="s">
        <v>21</v>
      </c>
    </row>
    <row r="21" spans="1:9" x14ac:dyDescent="0.3">
      <c r="A21" t="s">
        <v>50</v>
      </c>
      <c r="B21">
        <v>47772</v>
      </c>
      <c r="C21" t="s">
        <v>51</v>
      </c>
      <c r="D21">
        <v>553350</v>
      </c>
      <c r="E21" s="2">
        <v>43433.436874999999</v>
      </c>
      <c r="F21" s="1" t="str">
        <f>+TEXT(meli[[#This Row],[date_created]],"HH:MM")</f>
        <v>10:29</v>
      </c>
      <c r="G21" t="s">
        <v>52</v>
      </c>
      <c r="H21" t="s">
        <v>53</v>
      </c>
      <c r="I21" t="s">
        <v>12</v>
      </c>
    </row>
    <row r="22" spans="1:9" x14ac:dyDescent="0.3">
      <c r="A22" t="s">
        <v>54</v>
      </c>
      <c r="B22">
        <v>28130</v>
      </c>
      <c r="C22" t="s">
        <v>55</v>
      </c>
      <c r="D22">
        <v>1282990</v>
      </c>
      <c r="E22" s="2">
        <v>44013.504293981481</v>
      </c>
      <c r="F22" s="1" t="str">
        <f>+TEXT(meli[[#This Row],[date_created]],"HH:MM")</f>
        <v>12:06</v>
      </c>
      <c r="G22" t="s">
        <v>52</v>
      </c>
      <c r="H22" t="s">
        <v>53</v>
      </c>
      <c r="I22" t="s">
        <v>12</v>
      </c>
    </row>
    <row r="23" spans="1:9" x14ac:dyDescent="0.3">
      <c r="A23" t="s">
        <v>56</v>
      </c>
      <c r="B23">
        <v>25687</v>
      </c>
      <c r="C23" t="s">
        <v>57</v>
      </c>
      <c r="D23">
        <v>595000</v>
      </c>
      <c r="E23" s="2">
        <v>44736.501446759263</v>
      </c>
      <c r="F23" s="1" t="str">
        <f>+TEXT(meli[[#This Row],[date_created]],"HH:MM")</f>
        <v>12:02</v>
      </c>
      <c r="G23" t="s">
        <v>52</v>
      </c>
      <c r="H23" t="s">
        <v>53</v>
      </c>
      <c r="I23" t="s">
        <v>12</v>
      </c>
    </row>
    <row r="24" spans="1:9" x14ac:dyDescent="0.3">
      <c r="A24" t="s">
        <v>58</v>
      </c>
      <c r="B24">
        <v>15284</v>
      </c>
      <c r="C24" t="s">
        <v>59</v>
      </c>
      <c r="D24">
        <v>245540</v>
      </c>
      <c r="E24" s="2">
        <v>43594.792337962965</v>
      </c>
      <c r="F24" s="1" t="str">
        <f>+TEXT(meli[[#This Row],[date_created]],"HH:MM")</f>
        <v>19:00</v>
      </c>
      <c r="G24" t="s">
        <v>52</v>
      </c>
      <c r="H24" t="s">
        <v>53</v>
      </c>
      <c r="I24" t="s">
        <v>12</v>
      </c>
    </row>
    <row r="25" spans="1:9" x14ac:dyDescent="0.3">
      <c r="A25" t="s">
        <v>60</v>
      </c>
      <c r="B25">
        <v>7240</v>
      </c>
      <c r="C25" t="s">
        <v>61</v>
      </c>
      <c r="D25">
        <v>1410000</v>
      </c>
      <c r="E25" s="2">
        <v>44138.52034722222</v>
      </c>
      <c r="F25" s="1" t="str">
        <f>+TEXT(meli[[#This Row],[date_created]],"HH:MM")</f>
        <v>12:29</v>
      </c>
      <c r="G25" t="s">
        <v>52</v>
      </c>
      <c r="H25" t="s">
        <v>53</v>
      </c>
      <c r="I25" t="s">
        <v>12</v>
      </c>
    </row>
    <row r="26" spans="1:9" x14ac:dyDescent="0.3">
      <c r="A26" t="s">
        <v>62</v>
      </c>
      <c r="B26">
        <v>5932</v>
      </c>
      <c r="C26" t="s">
        <v>63</v>
      </c>
      <c r="D26">
        <v>480810</v>
      </c>
      <c r="E26" s="2">
        <v>44811.603587962964</v>
      </c>
      <c r="F26" s="1" t="str">
        <f>+TEXT(meli[[#This Row],[date_created]],"HH:MM")</f>
        <v>14:29</v>
      </c>
      <c r="G26" t="s">
        <v>52</v>
      </c>
      <c r="H26" t="s">
        <v>53</v>
      </c>
      <c r="I26" t="s">
        <v>12</v>
      </c>
    </row>
    <row r="27" spans="1:9" x14ac:dyDescent="0.3">
      <c r="A27" t="s">
        <v>64</v>
      </c>
      <c r="B27">
        <v>2378</v>
      </c>
      <c r="C27" t="s">
        <v>65</v>
      </c>
      <c r="D27">
        <v>556736</v>
      </c>
      <c r="E27" s="2">
        <v>44291.702314814815</v>
      </c>
      <c r="F27" s="1" t="str">
        <f>+TEXT(meli[[#This Row],[date_created]],"HH:MM")</f>
        <v>16:51</v>
      </c>
      <c r="G27" t="s">
        <v>52</v>
      </c>
      <c r="H27" t="s">
        <v>53</v>
      </c>
      <c r="I27" t="s">
        <v>12</v>
      </c>
    </row>
    <row r="28" spans="1:9" x14ac:dyDescent="0.3">
      <c r="A28" t="s">
        <v>66</v>
      </c>
      <c r="B28">
        <v>2130</v>
      </c>
      <c r="C28" t="s">
        <v>67</v>
      </c>
      <c r="D28">
        <v>4349913</v>
      </c>
      <c r="E28" s="2">
        <v>44166.653124999997</v>
      </c>
      <c r="F28" s="1" t="str">
        <f>+TEXT(meli[[#This Row],[date_created]],"HH:MM")</f>
        <v>15:40</v>
      </c>
      <c r="G28" t="s">
        <v>52</v>
      </c>
      <c r="H28" t="s">
        <v>53</v>
      </c>
      <c r="I28" t="s">
        <v>12</v>
      </c>
    </row>
    <row r="29" spans="1:9" x14ac:dyDescent="0.3">
      <c r="A29" t="s">
        <v>68</v>
      </c>
      <c r="B29">
        <v>1256</v>
      </c>
      <c r="C29" t="s">
        <v>69</v>
      </c>
      <c r="D29">
        <v>325000</v>
      </c>
      <c r="E29" s="2">
        <v>44976.358946759261</v>
      </c>
      <c r="F29" s="1" t="str">
        <f>+TEXT(meli[[#This Row],[date_created]],"HH:MM")</f>
        <v>08:36</v>
      </c>
      <c r="G29" t="s">
        <v>52</v>
      </c>
      <c r="H29" t="s">
        <v>53</v>
      </c>
      <c r="I29" t="s">
        <v>12</v>
      </c>
    </row>
    <row r="30" spans="1:9" x14ac:dyDescent="0.3">
      <c r="A30" t="s">
        <v>70</v>
      </c>
      <c r="B30">
        <v>500</v>
      </c>
      <c r="C30" t="s">
        <v>71</v>
      </c>
      <c r="D30">
        <v>159990</v>
      </c>
      <c r="E30" s="2">
        <v>44385.463182870371</v>
      </c>
      <c r="F30" s="1" t="str">
        <f>+TEXT(meli[[#This Row],[date_created]],"HH:MM")</f>
        <v>11:06</v>
      </c>
      <c r="G30" t="s">
        <v>52</v>
      </c>
      <c r="H30" t="s">
        <v>53</v>
      </c>
      <c r="I30" t="s">
        <v>21</v>
      </c>
    </row>
    <row r="31" spans="1:9" x14ac:dyDescent="0.3">
      <c r="A31" t="s">
        <v>72</v>
      </c>
      <c r="B31">
        <v>500</v>
      </c>
      <c r="C31" t="s">
        <v>73</v>
      </c>
      <c r="D31">
        <v>693405</v>
      </c>
      <c r="E31" s="2">
        <v>44187.751377314817</v>
      </c>
      <c r="F31" s="1" t="str">
        <f>+TEXT(meli[[#This Row],[date_created]],"HH:MM")</f>
        <v>18:01</v>
      </c>
      <c r="G31" t="s">
        <v>52</v>
      </c>
      <c r="H31" t="s">
        <v>53</v>
      </c>
      <c r="I31" t="s">
        <v>21</v>
      </c>
    </row>
    <row r="32" spans="1:9" x14ac:dyDescent="0.3">
      <c r="A32" t="s">
        <v>74</v>
      </c>
      <c r="B32">
        <v>500</v>
      </c>
      <c r="C32" t="s">
        <v>75</v>
      </c>
      <c r="D32">
        <v>51990</v>
      </c>
      <c r="E32" s="2">
        <v>44461.416689814818</v>
      </c>
      <c r="F32" s="1" t="str">
        <f>+TEXT(meli[[#This Row],[date_created]],"HH:MM")</f>
        <v>10:00</v>
      </c>
      <c r="G32" t="s">
        <v>52</v>
      </c>
      <c r="H32" t="s">
        <v>53</v>
      </c>
      <c r="I32" t="s">
        <v>21</v>
      </c>
    </row>
    <row r="33" spans="1:9" x14ac:dyDescent="0.3">
      <c r="A33" t="s">
        <v>76</v>
      </c>
      <c r="B33">
        <v>500</v>
      </c>
      <c r="C33" t="s">
        <v>77</v>
      </c>
      <c r="D33">
        <v>76380</v>
      </c>
      <c r="E33" s="2">
        <v>44620.596550925926</v>
      </c>
      <c r="F33" s="1" t="str">
        <f>+TEXT(meli[[#This Row],[date_created]],"HH:MM")</f>
        <v>14:19</v>
      </c>
      <c r="G33" t="s">
        <v>52</v>
      </c>
      <c r="H33" t="s">
        <v>53</v>
      </c>
      <c r="I33" t="s">
        <v>21</v>
      </c>
    </row>
    <row r="34" spans="1:9" x14ac:dyDescent="0.3">
      <c r="A34" t="s">
        <v>78</v>
      </c>
      <c r="B34">
        <v>500</v>
      </c>
      <c r="C34" t="s">
        <v>79</v>
      </c>
      <c r="D34">
        <v>159990</v>
      </c>
      <c r="E34" s="2">
        <v>44278.490613425929</v>
      </c>
      <c r="F34" s="1" t="str">
        <f>+TEXT(meli[[#This Row],[date_created]],"HH:MM")</f>
        <v>11:46</v>
      </c>
      <c r="G34" t="s">
        <v>52</v>
      </c>
      <c r="H34" t="s">
        <v>53</v>
      </c>
      <c r="I34" t="s">
        <v>21</v>
      </c>
    </row>
    <row r="35" spans="1:9" x14ac:dyDescent="0.3">
      <c r="A35" t="s">
        <v>80</v>
      </c>
      <c r="B35">
        <v>500</v>
      </c>
      <c r="C35" t="s">
        <v>81</v>
      </c>
      <c r="D35">
        <v>8228175</v>
      </c>
      <c r="E35" s="2">
        <v>44246.380671296298</v>
      </c>
      <c r="F35" s="1" t="str">
        <f>+TEXT(meli[[#This Row],[date_created]],"HH:MM")</f>
        <v>09:08</v>
      </c>
      <c r="G35" t="s">
        <v>52</v>
      </c>
      <c r="H35" t="s">
        <v>53</v>
      </c>
      <c r="I35" t="s">
        <v>21</v>
      </c>
    </row>
    <row r="36" spans="1:9" x14ac:dyDescent="0.3">
      <c r="A36" t="s">
        <v>82</v>
      </c>
      <c r="B36">
        <v>250</v>
      </c>
      <c r="C36" t="s">
        <v>83</v>
      </c>
      <c r="D36">
        <v>159900</v>
      </c>
      <c r="E36" s="2">
        <v>44946.520648148151</v>
      </c>
      <c r="F36" s="1" t="str">
        <f>+TEXT(meli[[#This Row],[date_created]],"HH:MM")</f>
        <v>12:29</v>
      </c>
      <c r="G36" t="s">
        <v>52</v>
      </c>
      <c r="H36" t="s">
        <v>53</v>
      </c>
      <c r="I36" t="s">
        <v>21</v>
      </c>
    </row>
    <row r="37" spans="1:9" x14ac:dyDescent="0.3">
      <c r="A37" t="s">
        <v>84</v>
      </c>
      <c r="B37">
        <v>250</v>
      </c>
      <c r="C37" t="s">
        <v>85</v>
      </c>
      <c r="D37">
        <v>349990</v>
      </c>
      <c r="E37" s="2">
        <v>43529.40221064815</v>
      </c>
      <c r="F37" s="1" t="str">
        <f>+TEXT(meli[[#This Row],[date_created]],"HH:MM")</f>
        <v>09:39</v>
      </c>
      <c r="G37" t="s">
        <v>52</v>
      </c>
      <c r="H37" t="s">
        <v>53</v>
      </c>
      <c r="I37" t="s">
        <v>21</v>
      </c>
    </row>
    <row r="38" spans="1:9" x14ac:dyDescent="0.3">
      <c r="A38" t="s">
        <v>86</v>
      </c>
      <c r="B38">
        <v>150</v>
      </c>
      <c r="C38" t="s">
        <v>87</v>
      </c>
      <c r="D38">
        <v>324000</v>
      </c>
      <c r="E38" s="2">
        <v>44449.721087962964</v>
      </c>
      <c r="F38" s="1" t="str">
        <f>+TEXT(meli[[#This Row],[date_created]],"HH:MM")</f>
        <v>17:18</v>
      </c>
      <c r="G38" t="s">
        <v>52</v>
      </c>
      <c r="H38" t="s">
        <v>53</v>
      </c>
      <c r="I38" t="s">
        <v>21</v>
      </c>
    </row>
    <row r="39" spans="1:9" x14ac:dyDescent="0.3">
      <c r="A39" t="s">
        <v>88</v>
      </c>
      <c r="B39">
        <v>100</v>
      </c>
      <c r="C39" t="s">
        <v>89</v>
      </c>
      <c r="D39">
        <v>209900</v>
      </c>
      <c r="E39" s="2">
        <v>44949.643263888887</v>
      </c>
      <c r="F39" s="1" t="str">
        <f>+TEXT(meli[[#This Row],[date_created]],"HH:MM")</f>
        <v>15:26</v>
      </c>
      <c r="G39" t="s">
        <v>52</v>
      </c>
      <c r="H39" t="s">
        <v>53</v>
      </c>
      <c r="I39" t="s">
        <v>21</v>
      </c>
    </row>
    <row r="40" spans="1:9" x14ac:dyDescent="0.3">
      <c r="A40" t="s">
        <v>90</v>
      </c>
      <c r="B40">
        <v>25</v>
      </c>
      <c r="C40" t="s">
        <v>91</v>
      </c>
      <c r="D40">
        <v>210000</v>
      </c>
      <c r="E40" s="2">
        <v>44723.499305555553</v>
      </c>
      <c r="F40" s="1" t="str">
        <f>+TEXT(meli[[#This Row],[date_created]],"HH:MM")</f>
        <v>11:59</v>
      </c>
      <c r="G40" t="s">
        <v>52</v>
      </c>
      <c r="H40" t="s">
        <v>53</v>
      </c>
      <c r="I40" t="s">
        <v>21</v>
      </c>
    </row>
    <row r="41" spans="1:9" x14ac:dyDescent="0.3">
      <c r="A41" t="s">
        <v>92</v>
      </c>
      <c r="B41">
        <v>325106</v>
      </c>
      <c r="C41" t="s">
        <v>93</v>
      </c>
      <c r="D41">
        <v>22720</v>
      </c>
      <c r="E41" s="2">
        <v>44119.466249999998</v>
      </c>
      <c r="F41" s="1" t="str">
        <f>+TEXT(meli[[#This Row],[date_created]],"HH:MM")</f>
        <v>11:11</v>
      </c>
      <c r="G41" t="s">
        <v>94</v>
      </c>
      <c r="H41" t="s">
        <v>95</v>
      </c>
      <c r="I41" t="s">
        <v>12</v>
      </c>
    </row>
    <row r="42" spans="1:9" x14ac:dyDescent="0.3">
      <c r="A42" t="s">
        <v>96</v>
      </c>
      <c r="B42">
        <v>244784</v>
      </c>
      <c r="C42" t="s">
        <v>97</v>
      </c>
      <c r="D42">
        <v>23490</v>
      </c>
      <c r="E42" s="2">
        <v>44830.836238425924</v>
      </c>
      <c r="F42" s="1" t="str">
        <f>+TEXT(meli[[#This Row],[date_created]],"HH:MM")</f>
        <v>20:04</v>
      </c>
      <c r="G42" t="s">
        <v>94</v>
      </c>
      <c r="H42" t="s">
        <v>95</v>
      </c>
      <c r="I42" t="s">
        <v>12</v>
      </c>
    </row>
    <row r="43" spans="1:9" x14ac:dyDescent="0.3">
      <c r="A43" t="s">
        <v>98</v>
      </c>
      <c r="B43">
        <v>219718</v>
      </c>
      <c r="C43" t="s">
        <v>99</v>
      </c>
      <c r="D43">
        <v>22720</v>
      </c>
      <c r="E43" s="2">
        <v>44119.466203703705</v>
      </c>
      <c r="F43" s="1" t="str">
        <f>+TEXT(meli[[#This Row],[date_created]],"HH:MM")</f>
        <v>11:11</v>
      </c>
      <c r="G43" t="s">
        <v>94</v>
      </c>
      <c r="H43" t="s">
        <v>95</v>
      </c>
      <c r="I43" t="s">
        <v>12</v>
      </c>
    </row>
    <row r="44" spans="1:9" x14ac:dyDescent="0.3">
      <c r="A44" t="s">
        <v>100</v>
      </c>
      <c r="B44">
        <v>114220</v>
      </c>
      <c r="C44" t="s">
        <v>101</v>
      </c>
      <c r="D44">
        <v>22720</v>
      </c>
      <c r="E44" s="2">
        <v>44119.466145833336</v>
      </c>
      <c r="F44" s="1" t="str">
        <f>+TEXT(meli[[#This Row],[date_created]],"HH:MM")</f>
        <v>11:11</v>
      </c>
      <c r="G44" t="s">
        <v>94</v>
      </c>
      <c r="H44" t="s">
        <v>95</v>
      </c>
      <c r="I44" t="s">
        <v>12</v>
      </c>
    </row>
    <row r="45" spans="1:9" x14ac:dyDescent="0.3">
      <c r="A45" t="s">
        <v>102</v>
      </c>
      <c r="B45">
        <v>80610</v>
      </c>
      <c r="C45" t="s">
        <v>103</v>
      </c>
      <c r="D45">
        <v>23490</v>
      </c>
      <c r="E45" s="2">
        <v>44119.466296296298</v>
      </c>
      <c r="F45" s="1" t="str">
        <f>+TEXT(meli[[#This Row],[date_created]],"HH:MM")</f>
        <v>11:11</v>
      </c>
      <c r="G45" t="s">
        <v>94</v>
      </c>
      <c r="H45" t="s">
        <v>95</v>
      </c>
      <c r="I45" t="s">
        <v>12</v>
      </c>
    </row>
    <row r="46" spans="1:9" x14ac:dyDescent="0.3">
      <c r="A46" t="s">
        <v>104</v>
      </c>
      <c r="B46">
        <v>73699</v>
      </c>
      <c r="C46" t="s">
        <v>105</v>
      </c>
      <c r="D46">
        <v>18790</v>
      </c>
      <c r="E46" s="2">
        <v>44930.619768518518</v>
      </c>
      <c r="F46" s="1" t="str">
        <f>+TEXT(meli[[#This Row],[date_created]],"HH:MM")</f>
        <v>14:52</v>
      </c>
      <c r="G46" t="s">
        <v>94</v>
      </c>
      <c r="H46" t="s">
        <v>95</v>
      </c>
      <c r="I46" t="s">
        <v>12</v>
      </c>
    </row>
    <row r="47" spans="1:9" x14ac:dyDescent="0.3">
      <c r="A47" t="s">
        <v>106</v>
      </c>
      <c r="B47">
        <v>73254</v>
      </c>
      <c r="C47" t="s">
        <v>107</v>
      </c>
      <c r="D47">
        <v>4680</v>
      </c>
      <c r="E47" s="2">
        <v>44175.651435185187</v>
      </c>
      <c r="F47" s="1" t="str">
        <f>+TEXT(meli[[#This Row],[date_created]],"HH:MM")</f>
        <v>15:38</v>
      </c>
      <c r="G47" t="s">
        <v>94</v>
      </c>
      <c r="H47" t="s">
        <v>95</v>
      </c>
      <c r="I47" t="s">
        <v>12</v>
      </c>
    </row>
    <row r="48" spans="1:9" x14ac:dyDescent="0.3">
      <c r="A48" t="s">
        <v>108</v>
      </c>
      <c r="B48">
        <v>66453</v>
      </c>
      <c r="C48" t="s">
        <v>109</v>
      </c>
      <c r="D48">
        <v>49488</v>
      </c>
      <c r="E48" s="2">
        <v>44897.85597222222</v>
      </c>
      <c r="F48" s="1" t="str">
        <f>+TEXT(meli[[#This Row],[date_created]],"HH:MM")</f>
        <v>20:32</v>
      </c>
      <c r="G48" t="s">
        <v>94</v>
      </c>
      <c r="H48" t="s">
        <v>95</v>
      </c>
      <c r="I48" t="s">
        <v>12</v>
      </c>
    </row>
    <row r="49" spans="1:9" x14ac:dyDescent="0.3">
      <c r="A49" t="s">
        <v>110</v>
      </c>
      <c r="B49">
        <v>60945</v>
      </c>
      <c r="C49" t="s">
        <v>111</v>
      </c>
      <c r="D49">
        <v>12230</v>
      </c>
      <c r="E49" s="2">
        <v>44056.56287037037</v>
      </c>
      <c r="F49" s="1" t="str">
        <f>+TEXT(meli[[#This Row],[date_created]],"HH:MM")</f>
        <v>13:30</v>
      </c>
      <c r="G49" t="s">
        <v>94</v>
      </c>
      <c r="H49" t="s">
        <v>95</v>
      </c>
      <c r="I49" t="s">
        <v>12</v>
      </c>
    </row>
    <row r="50" spans="1:9" x14ac:dyDescent="0.3">
      <c r="A50" t="s">
        <v>112</v>
      </c>
      <c r="B50">
        <v>54835</v>
      </c>
      <c r="C50" t="s">
        <v>113</v>
      </c>
      <c r="D50">
        <v>8900</v>
      </c>
      <c r="E50" s="2">
        <v>44175.65116898148</v>
      </c>
      <c r="F50" s="1" t="str">
        <f>+TEXT(meli[[#This Row],[date_created]],"HH:MM")</f>
        <v>15:37</v>
      </c>
      <c r="G50" t="s">
        <v>94</v>
      </c>
      <c r="H50" t="s">
        <v>95</v>
      </c>
      <c r="I50" t="s">
        <v>12</v>
      </c>
    </row>
    <row r="51" spans="1:9" x14ac:dyDescent="0.3">
      <c r="A51" t="s">
        <v>114</v>
      </c>
      <c r="B51">
        <v>42605</v>
      </c>
      <c r="C51" t="s">
        <v>115</v>
      </c>
      <c r="D51">
        <v>6000</v>
      </c>
      <c r="E51" s="2">
        <v>44910.614074074074</v>
      </c>
      <c r="F51" s="1" t="str">
        <f>+TEXT(meli[[#This Row],[date_created]],"HH:MM")</f>
        <v>14:44</v>
      </c>
      <c r="G51" t="s">
        <v>94</v>
      </c>
      <c r="H51" t="s">
        <v>95</v>
      </c>
      <c r="I51" t="s">
        <v>12</v>
      </c>
    </row>
    <row r="52" spans="1:9" x14ac:dyDescent="0.3">
      <c r="A52" t="s">
        <v>116</v>
      </c>
      <c r="B52">
        <v>36127</v>
      </c>
      <c r="C52" t="s">
        <v>117</v>
      </c>
      <c r="D52">
        <v>38250</v>
      </c>
      <c r="E52" s="2">
        <v>44881.758425925924</v>
      </c>
      <c r="F52" s="1" t="str">
        <f>+TEXT(meli[[#This Row],[date_created]],"HH:MM")</f>
        <v>18:12</v>
      </c>
      <c r="G52" t="s">
        <v>94</v>
      </c>
      <c r="H52" t="s">
        <v>95</v>
      </c>
      <c r="I52" t="s">
        <v>12</v>
      </c>
    </row>
    <row r="53" spans="1:9" x14ac:dyDescent="0.3">
      <c r="A53" t="s">
        <v>118</v>
      </c>
      <c r="B53">
        <v>23857</v>
      </c>
      <c r="C53" t="s">
        <v>119</v>
      </c>
      <c r="D53">
        <v>23188</v>
      </c>
      <c r="E53" s="2">
        <v>44897.795057870368</v>
      </c>
      <c r="F53" s="1" t="str">
        <f>+TEXT(meli[[#This Row],[date_created]],"HH:MM")</f>
        <v>19:04</v>
      </c>
      <c r="G53" t="s">
        <v>94</v>
      </c>
      <c r="H53" t="s">
        <v>95</v>
      </c>
      <c r="I53" t="s">
        <v>12</v>
      </c>
    </row>
    <row r="54" spans="1:9" x14ac:dyDescent="0.3">
      <c r="A54" t="s">
        <v>120</v>
      </c>
      <c r="B54">
        <v>16848</v>
      </c>
      <c r="C54" t="s">
        <v>121</v>
      </c>
      <c r="D54">
        <v>64935</v>
      </c>
      <c r="E54" s="2">
        <v>45030.338564814818</v>
      </c>
      <c r="F54" s="1" t="str">
        <f>+TEXT(meli[[#This Row],[date_created]],"HH:MM")</f>
        <v>08:07</v>
      </c>
      <c r="G54" t="s">
        <v>94</v>
      </c>
      <c r="H54" t="s">
        <v>95</v>
      </c>
      <c r="I54" t="s">
        <v>12</v>
      </c>
    </row>
    <row r="55" spans="1:9" x14ac:dyDescent="0.3">
      <c r="A55" t="s">
        <v>122</v>
      </c>
      <c r="B55">
        <v>16400</v>
      </c>
      <c r="C55" t="s">
        <v>123</v>
      </c>
      <c r="D55">
        <v>39580</v>
      </c>
      <c r="E55" s="2">
        <v>44056.562777777777</v>
      </c>
      <c r="F55" s="1" t="str">
        <f>+TEXT(meli[[#This Row],[date_created]],"HH:MM")</f>
        <v>13:30</v>
      </c>
      <c r="G55" t="s">
        <v>94</v>
      </c>
      <c r="H55" t="s">
        <v>95</v>
      </c>
      <c r="I55" t="s">
        <v>12</v>
      </c>
    </row>
    <row r="56" spans="1:9" x14ac:dyDescent="0.3">
      <c r="A56" t="s">
        <v>124</v>
      </c>
      <c r="B56">
        <v>14639</v>
      </c>
      <c r="C56" t="s">
        <v>125</v>
      </c>
      <c r="D56">
        <v>652746</v>
      </c>
      <c r="E56" s="2">
        <v>44813.86078703704</v>
      </c>
      <c r="F56" s="1" t="str">
        <f>+TEXT(meli[[#This Row],[date_created]],"HH:MM")</f>
        <v>20:39</v>
      </c>
      <c r="G56" t="s">
        <v>94</v>
      </c>
      <c r="H56" t="s">
        <v>95</v>
      </c>
      <c r="I56" t="s">
        <v>12</v>
      </c>
    </row>
    <row r="57" spans="1:9" x14ac:dyDescent="0.3">
      <c r="A57" t="s">
        <v>126</v>
      </c>
      <c r="B57">
        <v>13795</v>
      </c>
      <c r="C57" t="s">
        <v>127</v>
      </c>
      <c r="D57">
        <v>47740</v>
      </c>
      <c r="E57" s="2">
        <v>44886.777233796296</v>
      </c>
      <c r="F57" s="1" t="str">
        <f>+TEXT(meli[[#This Row],[date_created]],"HH:MM")</f>
        <v>18:39</v>
      </c>
      <c r="G57" t="s">
        <v>94</v>
      </c>
      <c r="H57" t="s">
        <v>95</v>
      </c>
      <c r="I57" t="s">
        <v>12</v>
      </c>
    </row>
    <row r="58" spans="1:9" x14ac:dyDescent="0.3">
      <c r="A58" t="s">
        <v>128</v>
      </c>
      <c r="B58">
        <v>9264</v>
      </c>
      <c r="C58" t="s">
        <v>129</v>
      </c>
      <c r="D58">
        <v>96332</v>
      </c>
      <c r="E58" s="2">
        <v>44819.835138888891</v>
      </c>
      <c r="F58" s="1" t="str">
        <f>+TEXT(meli[[#This Row],[date_created]],"HH:MM")</f>
        <v>20:02</v>
      </c>
      <c r="G58" t="s">
        <v>94</v>
      </c>
      <c r="H58" t="s">
        <v>95</v>
      </c>
      <c r="I58" t="s">
        <v>12</v>
      </c>
    </row>
    <row r="59" spans="1:9" x14ac:dyDescent="0.3">
      <c r="A59" t="s">
        <v>130</v>
      </c>
      <c r="B59">
        <v>8396</v>
      </c>
      <c r="C59" t="s">
        <v>131</v>
      </c>
      <c r="D59">
        <v>31500</v>
      </c>
      <c r="E59" s="2">
        <v>44936.59578703704</v>
      </c>
      <c r="F59" s="1" t="str">
        <f>+TEXT(meli[[#This Row],[date_created]],"HH:MM")</f>
        <v>14:17</v>
      </c>
      <c r="G59" t="s">
        <v>94</v>
      </c>
      <c r="H59" t="s">
        <v>95</v>
      </c>
      <c r="I59" t="s">
        <v>12</v>
      </c>
    </row>
    <row r="60" spans="1:9" x14ac:dyDescent="0.3">
      <c r="A60" t="s">
        <v>132</v>
      </c>
      <c r="B60">
        <v>5000</v>
      </c>
      <c r="C60" t="s">
        <v>133</v>
      </c>
      <c r="D60">
        <v>174990</v>
      </c>
      <c r="E60" s="2">
        <v>44482.593414351853</v>
      </c>
      <c r="F60" s="1" t="str">
        <f>+TEXT(meli[[#This Row],[date_created]],"HH:MM")</f>
        <v>14:14</v>
      </c>
      <c r="G60" t="s">
        <v>94</v>
      </c>
      <c r="H60" t="s">
        <v>95</v>
      </c>
      <c r="I60" t="s">
        <v>21</v>
      </c>
    </row>
    <row r="61" spans="1:9" x14ac:dyDescent="0.3">
      <c r="A61" t="s">
        <v>134</v>
      </c>
      <c r="B61">
        <v>115448</v>
      </c>
      <c r="C61" t="s">
        <v>135</v>
      </c>
      <c r="D61">
        <v>168750</v>
      </c>
      <c r="E61" s="2">
        <v>43075.721458333333</v>
      </c>
      <c r="F61" s="1" t="str">
        <f>+TEXT(meli[[#This Row],[date_created]],"HH:MM")</f>
        <v>17:18</v>
      </c>
      <c r="G61" t="s">
        <v>136</v>
      </c>
      <c r="H61" t="s">
        <v>137</v>
      </c>
      <c r="I61" t="s">
        <v>12</v>
      </c>
    </row>
    <row r="62" spans="1:9" x14ac:dyDescent="0.3">
      <c r="A62" t="s">
        <v>138</v>
      </c>
      <c r="B62">
        <v>94258</v>
      </c>
      <c r="C62" t="s">
        <v>139</v>
      </c>
      <c r="D62">
        <v>185000</v>
      </c>
      <c r="E62" s="2">
        <v>43720.483946759261</v>
      </c>
      <c r="F62" s="1" t="str">
        <f>+TEXT(meli[[#This Row],[date_created]],"HH:MM")</f>
        <v>11:36</v>
      </c>
      <c r="G62" t="s">
        <v>136</v>
      </c>
      <c r="H62" t="s">
        <v>137</v>
      </c>
      <c r="I62" t="s">
        <v>12</v>
      </c>
    </row>
    <row r="63" spans="1:9" x14ac:dyDescent="0.3">
      <c r="A63" t="s">
        <v>140</v>
      </c>
      <c r="B63">
        <v>85090</v>
      </c>
      <c r="C63" t="s">
        <v>141</v>
      </c>
      <c r="D63">
        <v>260700</v>
      </c>
      <c r="E63" s="2">
        <v>43095.467673611114</v>
      </c>
      <c r="F63" s="1" t="str">
        <f>+TEXT(meli[[#This Row],[date_created]],"HH:MM")</f>
        <v>11:13</v>
      </c>
      <c r="G63" t="s">
        <v>136</v>
      </c>
      <c r="H63" t="s">
        <v>137</v>
      </c>
      <c r="I63" t="s">
        <v>12</v>
      </c>
    </row>
    <row r="64" spans="1:9" x14ac:dyDescent="0.3">
      <c r="A64" t="s">
        <v>142</v>
      </c>
      <c r="B64">
        <v>83880</v>
      </c>
      <c r="C64" t="s">
        <v>143</v>
      </c>
      <c r="D64">
        <v>79180</v>
      </c>
      <c r="E64" s="2">
        <v>43780.720462962963</v>
      </c>
      <c r="F64" s="1" t="str">
        <f>+TEXT(meli[[#This Row],[date_created]],"HH:MM")</f>
        <v>17:17</v>
      </c>
      <c r="G64" t="s">
        <v>136</v>
      </c>
      <c r="H64" t="s">
        <v>137</v>
      </c>
      <c r="I64" t="s">
        <v>12</v>
      </c>
    </row>
    <row r="65" spans="1:9" x14ac:dyDescent="0.3">
      <c r="A65" t="s">
        <v>144</v>
      </c>
      <c r="B65">
        <v>69956</v>
      </c>
      <c r="C65" t="s">
        <v>145</v>
      </c>
      <c r="D65">
        <v>135450</v>
      </c>
      <c r="E65" s="2">
        <v>43165.390509259261</v>
      </c>
      <c r="F65" s="1" t="str">
        <f>+TEXT(meli[[#This Row],[date_created]],"HH:MM")</f>
        <v>09:22</v>
      </c>
      <c r="G65" t="s">
        <v>136</v>
      </c>
      <c r="H65" t="s">
        <v>137</v>
      </c>
      <c r="I65" t="s">
        <v>12</v>
      </c>
    </row>
    <row r="66" spans="1:9" x14ac:dyDescent="0.3">
      <c r="A66" t="s">
        <v>146</v>
      </c>
      <c r="B66">
        <v>68930</v>
      </c>
      <c r="C66" t="s">
        <v>147</v>
      </c>
      <c r="D66">
        <v>323910</v>
      </c>
      <c r="E66" s="2">
        <v>43075.721458333333</v>
      </c>
      <c r="F66" s="1" t="str">
        <f>+TEXT(meli[[#This Row],[date_created]],"HH:MM")</f>
        <v>17:18</v>
      </c>
      <c r="G66" t="s">
        <v>136</v>
      </c>
      <c r="H66" t="s">
        <v>137</v>
      </c>
      <c r="I66" t="s">
        <v>12</v>
      </c>
    </row>
    <row r="67" spans="1:9" x14ac:dyDescent="0.3">
      <c r="A67" t="s">
        <v>148</v>
      </c>
      <c r="B67">
        <v>63918</v>
      </c>
      <c r="C67" t="s">
        <v>149</v>
      </c>
      <c r="D67">
        <v>199350</v>
      </c>
      <c r="E67" s="2">
        <v>43075.721458333333</v>
      </c>
      <c r="F67" s="1" t="str">
        <f>+TEXT(meli[[#This Row],[date_created]],"HH:MM")</f>
        <v>17:18</v>
      </c>
      <c r="G67" t="s">
        <v>136</v>
      </c>
      <c r="H67" t="s">
        <v>137</v>
      </c>
      <c r="I67" t="s">
        <v>12</v>
      </c>
    </row>
    <row r="68" spans="1:9" x14ac:dyDescent="0.3">
      <c r="A68" t="s">
        <v>150</v>
      </c>
      <c r="B68">
        <v>62070</v>
      </c>
      <c r="C68" t="s">
        <v>151</v>
      </c>
      <c r="D68">
        <v>209250</v>
      </c>
      <c r="E68" s="2">
        <v>43851.441712962966</v>
      </c>
      <c r="F68" s="1" t="str">
        <f>+TEXT(meli[[#This Row],[date_created]],"HH:MM")</f>
        <v>10:36</v>
      </c>
      <c r="G68" t="s">
        <v>136</v>
      </c>
      <c r="H68" t="s">
        <v>137</v>
      </c>
      <c r="I68" t="s">
        <v>12</v>
      </c>
    </row>
    <row r="69" spans="1:9" x14ac:dyDescent="0.3">
      <c r="A69" t="s">
        <v>152</v>
      </c>
      <c r="B69">
        <v>57602</v>
      </c>
      <c r="C69" t="s">
        <v>153</v>
      </c>
      <c r="D69">
        <v>234100</v>
      </c>
      <c r="E69" s="2">
        <v>43095.467685185184</v>
      </c>
      <c r="F69" s="1" t="str">
        <f>+TEXT(meli[[#This Row],[date_created]],"HH:MM")</f>
        <v>11:13</v>
      </c>
      <c r="G69" t="s">
        <v>136</v>
      </c>
      <c r="H69" t="s">
        <v>137</v>
      </c>
      <c r="I69" t="s">
        <v>12</v>
      </c>
    </row>
    <row r="70" spans="1:9" x14ac:dyDescent="0.3">
      <c r="A70" t="s">
        <v>154</v>
      </c>
      <c r="B70">
        <v>54996</v>
      </c>
      <c r="C70" t="s">
        <v>155</v>
      </c>
      <c r="D70">
        <v>274810</v>
      </c>
      <c r="E70" s="2">
        <v>43720.483935185184</v>
      </c>
      <c r="F70" s="1" t="str">
        <f>+TEXT(meli[[#This Row],[date_created]],"HH:MM")</f>
        <v>11:36</v>
      </c>
      <c r="G70" t="s">
        <v>136</v>
      </c>
      <c r="H70" t="s">
        <v>137</v>
      </c>
      <c r="I70" t="s">
        <v>12</v>
      </c>
    </row>
    <row r="71" spans="1:9" x14ac:dyDescent="0.3">
      <c r="A71" t="s">
        <v>156</v>
      </c>
      <c r="B71">
        <v>45938</v>
      </c>
      <c r="C71" t="s">
        <v>157</v>
      </c>
      <c r="D71">
        <v>269900</v>
      </c>
      <c r="E71" s="2">
        <v>43720.483935185184</v>
      </c>
      <c r="F71" s="1" t="str">
        <f>+TEXT(meli[[#This Row],[date_created]],"HH:MM")</f>
        <v>11:36</v>
      </c>
      <c r="G71" t="s">
        <v>136</v>
      </c>
      <c r="H71" t="s">
        <v>137</v>
      </c>
      <c r="I71" t="s">
        <v>12</v>
      </c>
    </row>
    <row r="72" spans="1:9" x14ac:dyDescent="0.3">
      <c r="A72" t="s">
        <v>158</v>
      </c>
      <c r="B72">
        <v>40810</v>
      </c>
      <c r="C72" t="s">
        <v>159</v>
      </c>
      <c r="D72">
        <v>177220</v>
      </c>
      <c r="E72" s="2">
        <v>43145.48541666667</v>
      </c>
      <c r="F72" s="1" t="str">
        <f>+TEXT(meli[[#This Row],[date_created]],"HH:MM")</f>
        <v>11:39</v>
      </c>
      <c r="G72" t="s">
        <v>136</v>
      </c>
      <c r="H72" t="s">
        <v>137</v>
      </c>
      <c r="I72" t="s">
        <v>12</v>
      </c>
    </row>
    <row r="73" spans="1:9" x14ac:dyDescent="0.3">
      <c r="A73" t="s">
        <v>160</v>
      </c>
      <c r="B73">
        <v>38271</v>
      </c>
      <c r="C73" t="s">
        <v>161</v>
      </c>
      <c r="D73">
        <v>299000</v>
      </c>
      <c r="E73" s="2">
        <v>43726.639803240738</v>
      </c>
      <c r="F73" s="1" t="str">
        <f>+TEXT(meli[[#This Row],[date_created]],"HH:MM")</f>
        <v>15:21</v>
      </c>
      <c r="G73" t="s">
        <v>136</v>
      </c>
      <c r="H73" t="s">
        <v>137</v>
      </c>
      <c r="I73" t="s">
        <v>12</v>
      </c>
    </row>
    <row r="74" spans="1:9" x14ac:dyDescent="0.3">
      <c r="A74" t="s">
        <v>162</v>
      </c>
      <c r="B74">
        <v>30689</v>
      </c>
      <c r="C74" t="s">
        <v>163</v>
      </c>
      <c r="D74">
        <v>1478664</v>
      </c>
      <c r="E74" s="2">
        <v>43740.68891203704</v>
      </c>
      <c r="F74" s="1" t="str">
        <f>+TEXT(meli[[#This Row],[date_created]],"HH:MM")</f>
        <v>16:32</v>
      </c>
      <c r="G74" t="s">
        <v>136</v>
      </c>
      <c r="H74" t="s">
        <v>137</v>
      </c>
      <c r="I74" t="s">
        <v>12</v>
      </c>
    </row>
    <row r="75" spans="1:9" x14ac:dyDescent="0.3">
      <c r="A75" t="s">
        <v>164</v>
      </c>
      <c r="B75">
        <v>26730</v>
      </c>
      <c r="C75" t="s">
        <v>165</v>
      </c>
      <c r="D75">
        <v>153500</v>
      </c>
      <c r="E75" s="2">
        <v>43307.546527777777</v>
      </c>
      <c r="F75" s="1" t="str">
        <f>+TEXT(meli[[#This Row],[date_created]],"HH:MM")</f>
        <v>13:07</v>
      </c>
      <c r="G75" t="s">
        <v>136</v>
      </c>
      <c r="H75" t="s">
        <v>137</v>
      </c>
      <c r="I75" t="s">
        <v>12</v>
      </c>
    </row>
    <row r="76" spans="1:9" x14ac:dyDescent="0.3">
      <c r="A76" t="s">
        <v>166</v>
      </c>
      <c r="B76">
        <v>19082</v>
      </c>
      <c r="C76" t="s">
        <v>167</v>
      </c>
      <c r="D76">
        <v>167000</v>
      </c>
      <c r="E76" s="2">
        <v>43433.502858796295</v>
      </c>
      <c r="F76" s="1" t="str">
        <f>+TEXT(meli[[#This Row],[date_created]],"HH:MM")</f>
        <v>12:04</v>
      </c>
      <c r="G76" t="s">
        <v>136</v>
      </c>
      <c r="H76" t="s">
        <v>137</v>
      </c>
      <c r="I76" t="s">
        <v>12</v>
      </c>
    </row>
    <row r="77" spans="1:9" x14ac:dyDescent="0.3">
      <c r="A77" t="s">
        <v>168</v>
      </c>
      <c r="B77">
        <v>18676</v>
      </c>
      <c r="C77" t="s">
        <v>169</v>
      </c>
      <c r="D77">
        <v>396860</v>
      </c>
      <c r="E77" s="2">
        <v>43383.702835648146</v>
      </c>
      <c r="F77" s="1" t="str">
        <f>+TEXT(meli[[#This Row],[date_created]],"HH:MM")</f>
        <v>16:52</v>
      </c>
      <c r="G77" t="s">
        <v>136</v>
      </c>
      <c r="H77" t="s">
        <v>137</v>
      </c>
      <c r="I77" t="s">
        <v>12</v>
      </c>
    </row>
    <row r="78" spans="1:9" x14ac:dyDescent="0.3">
      <c r="A78" t="s">
        <v>170</v>
      </c>
      <c r="B78">
        <v>12693</v>
      </c>
      <c r="C78" t="s">
        <v>171</v>
      </c>
      <c r="D78">
        <v>196980</v>
      </c>
      <c r="E78" s="2">
        <v>45009.718333333331</v>
      </c>
      <c r="F78" s="1" t="str">
        <f>+TEXT(meli[[#This Row],[date_created]],"HH:MM")</f>
        <v>17:14</v>
      </c>
      <c r="G78" t="s">
        <v>136</v>
      </c>
      <c r="H78" t="s">
        <v>137</v>
      </c>
      <c r="I78" t="s">
        <v>12</v>
      </c>
    </row>
    <row r="79" spans="1:9" x14ac:dyDescent="0.3">
      <c r="A79" t="s">
        <v>172</v>
      </c>
      <c r="B79">
        <v>10670</v>
      </c>
      <c r="C79" t="s">
        <v>173</v>
      </c>
      <c r="D79">
        <v>135450</v>
      </c>
      <c r="E79" s="2">
        <v>44930.034236111111</v>
      </c>
      <c r="F79" s="1" t="str">
        <f>+TEXT(meli[[#This Row],[date_created]],"HH:MM")</f>
        <v>00:49</v>
      </c>
      <c r="G79" t="s">
        <v>136</v>
      </c>
      <c r="H79" t="s">
        <v>137</v>
      </c>
      <c r="I79" t="s">
        <v>12</v>
      </c>
    </row>
    <row r="80" spans="1:9" x14ac:dyDescent="0.3">
      <c r="A80" t="s">
        <v>174</v>
      </c>
      <c r="B80">
        <v>5000</v>
      </c>
      <c r="C80" t="s">
        <v>175</v>
      </c>
      <c r="D80">
        <v>41600</v>
      </c>
      <c r="E80" s="2">
        <v>44595.613726851851</v>
      </c>
      <c r="F80" s="1" t="str">
        <f>+TEXT(meli[[#This Row],[date_created]],"HH:MM")</f>
        <v>14:43</v>
      </c>
      <c r="G80" t="s">
        <v>136</v>
      </c>
      <c r="H80" t="s">
        <v>137</v>
      </c>
      <c r="I80" t="s">
        <v>21</v>
      </c>
    </row>
    <row r="81" spans="1:9" x14ac:dyDescent="0.3">
      <c r="A81" t="s">
        <v>176</v>
      </c>
      <c r="B81">
        <v>21464</v>
      </c>
      <c r="C81" t="s">
        <v>177</v>
      </c>
      <c r="D81">
        <v>739116</v>
      </c>
      <c r="E81" s="2">
        <v>44020.516469907408</v>
      </c>
      <c r="F81" s="1" t="str">
        <f>+TEXT(meli[[#This Row],[date_created]],"HH:MM")</f>
        <v>12:23</v>
      </c>
      <c r="G81" t="s">
        <v>178</v>
      </c>
      <c r="H81" t="s">
        <v>179</v>
      </c>
      <c r="I81" t="s">
        <v>12</v>
      </c>
    </row>
    <row r="82" spans="1:9" x14ac:dyDescent="0.3">
      <c r="A82" t="s">
        <v>180</v>
      </c>
      <c r="B82">
        <v>5000</v>
      </c>
      <c r="C82" t="s">
        <v>181</v>
      </c>
      <c r="D82">
        <v>22990</v>
      </c>
      <c r="E82" s="2">
        <v>44361.748645833337</v>
      </c>
      <c r="F82" s="1" t="str">
        <f>+TEXT(meli[[#This Row],[date_created]],"HH:MM")</f>
        <v>17:58</v>
      </c>
      <c r="G82" t="s">
        <v>178</v>
      </c>
      <c r="H82" t="s">
        <v>179</v>
      </c>
      <c r="I82" t="s">
        <v>21</v>
      </c>
    </row>
    <row r="83" spans="1:9" x14ac:dyDescent="0.3">
      <c r="A83" t="s">
        <v>182</v>
      </c>
      <c r="B83">
        <v>4380</v>
      </c>
      <c r="C83" t="s">
        <v>183</v>
      </c>
      <c r="D83">
        <v>4445520</v>
      </c>
      <c r="E83" s="2">
        <v>43734.397152777776</v>
      </c>
      <c r="F83" s="1" t="str">
        <f>+TEXT(meli[[#This Row],[date_created]],"HH:MM")</f>
        <v>09:31</v>
      </c>
      <c r="G83" t="s">
        <v>178</v>
      </c>
      <c r="H83" t="s">
        <v>179</v>
      </c>
      <c r="I83" t="s">
        <v>12</v>
      </c>
    </row>
    <row r="84" spans="1:9" x14ac:dyDescent="0.3">
      <c r="A84" t="s">
        <v>184</v>
      </c>
      <c r="B84">
        <v>2994</v>
      </c>
      <c r="C84" t="s">
        <v>185</v>
      </c>
      <c r="D84">
        <v>204990</v>
      </c>
      <c r="E84" s="2">
        <v>44902.44458333333</v>
      </c>
      <c r="F84" s="1" t="str">
        <f>+TEXT(meli[[#This Row],[date_created]],"HH:MM")</f>
        <v>10:40</v>
      </c>
      <c r="G84" t="s">
        <v>178</v>
      </c>
      <c r="H84" t="s">
        <v>179</v>
      </c>
      <c r="I84" t="s">
        <v>12</v>
      </c>
    </row>
    <row r="85" spans="1:9" x14ac:dyDescent="0.3">
      <c r="A85" t="s">
        <v>186</v>
      </c>
      <c r="B85">
        <v>2662</v>
      </c>
      <c r="C85" t="s">
        <v>187</v>
      </c>
      <c r="D85">
        <v>181220</v>
      </c>
      <c r="E85" s="2">
        <v>44902.444594907407</v>
      </c>
      <c r="F85" s="1" t="str">
        <f>+TEXT(meli[[#This Row],[date_created]],"HH:MM")</f>
        <v>10:40</v>
      </c>
      <c r="G85" t="s">
        <v>178</v>
      </c>
      <c r="H85" t="s">
        <v>179</v>
      </c>
      <c r="I85" t="s">
        <v>12</v>
      </c>
    </row>
    <row r="86" spans="1:9" x14ac:dyDescent="0.3">
      <c r="A86" t="s">
        <v>188</v>
      </c>
      <c r="B86">
        <v>2159</v>
      </c>
      <c r="C86" t="s">
        <v>189</v>
      </c>
      <c r="D86">
        <v>19990</v>
      </c>
      <c r="E86" s="2">
        <v>44176.457812499997</v>
      </c>
      <c r="F86" s="1" t="str">
        <f>+TEXT(meli[[#This Row],[date_created]],"HH:MM")</f>
        <v>10:59</v>
      </c>
      <c r="G86" t="s">
        <v>178</v>
      </c>
      <c r="H86" t="s">
        <v>179</v>
      </c>
      <c r="I86" t="s">
        <v>21</v>
      </c>
    </row>
    <row r="87" spans="1:9" x14ac:dyDescent="0.3">
      <c r="A87" t="s">
        <v>190</v>
      </c>
      <c r="B87">
        <v>730</v>
      </c>
      <c r="C87" t="s">
        <v>191</v>
      </c>
      <c r="D87">
        <v>19990</v>
      </c>
      <c r="E87" s="2">
        <v>44176.514062499999</v>
      </c>
      <c r="F87" s="1" t="str">
        <f>+TEXT(meli[[#This Row],[date_created]],"HH:MM")</f>
        <v>12:20</v>
      </c>
      <c r="G87" t="s">
        <v>178</v>
      </c>
      <c r="H87" t="s">
        <v>179</v>
      </c>
      <c r="I87" t="s">
        <v>21</v>
      </c>
    </row>
    <row r="88" spans="1:9" x14ac:dyDescent="0.3">
      <c r="A88" t="s">
        <v>192</v>
      </c>
      <c r="B88">
        <v>691</v>
      </c>
      <c r="C88" t="s">
        <v>193</v>
      </c>
      <c r="D88">
        <v>485990</v>
      </c>
      <c r="E88" s="2">
        <v>44902.444594907407</v>
      </c>
      <c r="F88" s="1" t="str">
        <f>+TEXT(meli[[#This Row],[date_created]],"HH:MM")</f>
        <v>10:40</v>
      </c>
      <c r="G88" t="s">
        <v>178</v>
      </c>
      <c r="H88" t="s">
        <v>179</v>
      </c>
      <c r="I88" t="s">
        <v>12</v>
      </c>
    </row>
    <row r="89" spans="1:9" x14ac:dyDescent="0.3">
      <c r="A89" t="s">
        <v>194</v>
      </c>
      <c r="B89">
        <v>500</v>
      </c>
      <c r="C89" t="s">
        <v>181</v>
      </c>
      <c r="D89">
        <v>182735</v>
      </c>
      <c r="E89" s="2">
        <v>44914.710312499999</v>
      </c>
      <c r="F89" s="1" t="str">
        <f>+TEXT(meli[[#This Row],[date_created]],"HH:MM")</f>
        <v>17:02</v>
      </c>
      <c r="G89" t="s">
        <v>178</v>
      </c>
      <c r="H89" t="s">
        <v>179</v>
      </c>
      <c r="I89" t="s">
        <v>21</v>
      </c>
    </row>
    <row r="90" spans="1:9" x14ac:dyDescent="0.3">
      <c r="A90" t="s">
        <v>195</v>
      </c>
      <c r="B90">
        <v>500</v>
      </c>
      <c r="C90" t="s">
        <v>196</v>
      </c>
      <c r="D90">
        <v>26100</v>
      </c>
      <c r="E90" s="2">
        <v>42531.407141203701</v>
      </c>
      <c r="F90" s="1" t="str">
        <f>+TEXT(meli[[#This Row],[date_created]],"HH:MM")</f>
        <v>09:46</v>
      </c>
      <c r="G90" t="s">
        <v>178</v>
      </c>
      <c r="H90" t="s">
        <v>179</v>
      </c>
      <c r="I90" t="s">
        <v>21</v>
      </c>
    </row>
    <row r="91" spans="1:9" x14ac:dyDescent="0.3">
      <c r="A91" t="s">
        <v>197</v>
      </c>
      <c r="B91">
        <v>500</v>
      </c>
      <c r="C91" t="s">
        <v>198</v>
      </c>
      <c r="D91">
        <v>25330</v>
      </c>
      <c r="E91" s="2">
        <v>43982.499444444446</v>
      </c>
      <c r="F91" s="1" t="str">
        <f>+TEXT(meli[[#This Row],[date_created]],"HH:MM")</f>
        <v>11:59</v>
      </c>
      <c r="G91" t="s">
        <v>178</v>
      </c>
      <c r="H91" t="s">
        <v>179</v>
      </c>
      <c r="I91" t="s">
        <v>21</v>
      </c>
    </row>
    <row r="92" spans="1:9" x14ac:dyDescent="0.3">
      <c r="A92" t="s">
        <v>199</v>
      </c>
      <c r="B92">
        <v>326</v>
      </c>
      <c r="C92" t="s">
        <v>200</v>
      </c>
      <c r="D92">
        <v>286390</v>
      </c>
      <c r="E92" s="2">
        <v>44902.458252314813</v>
      </c>
      <c r="F92" s="1" t="str">
        <f>+TEXT(meli[[#This Row],[date_created]],"HH:MM")</f>
        <v>10:59</v>
      </c>
      <c r="G92" t="s">
        <v>178</v>
      </c>
      <c r="H92" t="s">
        <v>179</v>
      </c>
      <c r="I92" t="s">
        <v>12</v>
      </c>
    </row>
    <row r="93" spans="1:9" x14ac:dyDescent="0.3">
      <c r="A93" t="s">
        <v>201</v>
      </c>
      <c r="B93">
        <v>250</v>
      </c>
      <c r="C93" t="s">
        <v>202</v>
      </c>
      <c r="D93">
        <v>66000</v>
      </c>
      <c r="E93" s="2">
        <v>44210.558969907404</v>
      </c>
      <c r="F93" s="1" t="str">
        <f>+TEXT(meli[[#This Row],[date_created]],"HH:MM")</f>
        <v>13:24</v>
      </c>
      <c r="G93" t="s">
        <v>178</v>
      </c>
      <c r="H93" t="s">
        <v>179</v>
      </c>
      <c r="I93" t="s">
        <v>21</v>
      </c>
    </row>
    <row r="94" spans="1:9" x14ac:dyDescent="0.3">
      <c r="A94" t="s">
        <v>203</v>
      </c>
      <c r="B94">
        <v>200</v>
      </c>
      <c r="C94" t="s">
        <v>204</v>
      </c>
      <c r="D94">
        <v>13100</v>
      </c>
      <c r="E94" s="2">
        <v>42633.657199074078</v>
      </c>
      <c r="F94" s="1" t="str">
        <f>+TEXT(meli[[#This Row],[date_created]],"HH:MM")</f>
        <v>15:46</v>
      </c>
      <c r="G94" t="s">
        <v>178</v>
      </c>
      <c r="H94" t="s">
        <v>179</v>
      </c>
      <c r="I94" t="s">
        <v>21</v>
      </c>
    </row>
    <row r="95" spans="1:9" x14ac:dyDescent="0.3">
      <c r="A95" t="s">
        <v>205</v>
      </c>
      <c r="B95">
        <v>100</v>
      </c>
      <c r="C95" t="s">
        <v>206</v>
      </c>
      <c r="D95">
        <v>157900</v>
      </c>
      <c r="E95" s="2">
        <v>43944.627974537034</v>
      </c>
      <c r="F95" s="1" t="str">
        <f>+TEXT(meli[[#This Row],[date_created]],"HH:MM")</f>
        <v>15:04</v>
      </c>
      <c r="G95" t="s">
        <v>178</v>
      </c>
      <c r="H95" t="s">
        <v>179</v>
      </c>
      <c r="I95" t="s">
        <v>21</v>
      </c>
    </row>
    <row r="96" spans="1:9" x14ac:dyDescent="0.3">
      <c r="A96" t="s">
        <v>207</v>
      </c>
      <c r="B96">
        <v>100</v>
      </c>
      <c r="C96" t="s">
        <v>208</v>
      </c>
      <c r="D96">
        <v>814177</v>
      </c>
      <c r="E96" s="2">
        <v>45014.798449074071</v>
      </c>
      <c r="F96" s="1" t="str">
        <f>+TEXT(meli[[#This Row],[date_created]],"HH:MM")</f>
        <v>19:09</v>
      </c>
      <c r="G96" t="s">
        <v>178</v>
      </c>
      <c r="H96" t="s">
        <v>179</v>
      </c>
      <c r="I96" t="s">
        <v>21</v>
      </c>
    </row>
    <row r="97" spans="1:9" x14ac:dyDescent="0.3">
      <c r="A97" t="s">
        <v>209</v>
      </c>
      <c r="B97">
        <v>80</v>
      </c>
      <c r="C97" t="s">
        <v>210</v>
      </c>
      <c r="D97">
        <v>83630</v>
      </c>
      <c r="E97" s="2">
        <v>43215.360324074078</v>
      </c>
      <c r="F97" s="1" t="str">
        <f>+TEXT(meli[[#This Row],[date_created]],"HH:MM")</f>
        <v>08:38</v>
      </c>
      <c r="G97" t="s">
        <v>178</v>
      </c>
      <c r="H97" t="s">
        <v>179</v>
      </c>
      <c r="I97" t="s">
        <v>21</v>
      </c>
    </row>
    <row r="98" spans="1:9" x14ac:dyDescent="0.3">
      <c r="A98" t="s">
        <v>211</v>
      </c>
      <c r="B98">
        <v>60</v>
      </c>
      <c r="C98" t="s">
        <v>212</v>
      </c>
      <c r="D98">
        <v>161730</v>
      </c>
      <c r="E98" s="2">
        <v>42901.594710648147</v>
      </c>
      <c r="F98" s="1" t="str">
        <f>+TEXT(meli[[#This Row],[date_created]],"HH:MM")</f>
        <v>14:16</v>
      </c>
      <c r="G98" t="s">
        <v>178</v>
      </c>
      <c r="H98" t="s">
        <v>179</v>
      </c>
      <c r="I98" t="s">
        <v>21</v>
      </c>
    </row>
    <row r="99" spans="1:9" x14ac:dyDescent="0.3">
      <c r="A99" t="s">
        <v>213</v>
      </c>
      <c r="B99">
        <v>43</v>
      </c>
      <c r="C99" t="s">
        <v>181</v>
      </c>
      <c r="D99">
        <v>18561</v>
      </c>
      <c r="E99" s="2">
        <v>45090.692673611113</v>
      </c>
      <c r="F99" s="1" t="str">
        <f>+TEXT(meli[[#This Row],[date_created]],"HH:MM")</f>
        <v>16:37</v>
      </c>
      <c r="G99" t="s">
        <v>178</v>
      </c>
      <c r="H99" t="s">
        <v>179</v>
      </c>
      <c r="I99" t="s">
        <v>21</v>
      </c>
    </row>
    <row r="100" spans="1:9" x14ac:dyDescent="0.3">
      <c r="A100" t="s">
        <v>214</v>
      </c>
      <c r="B100">
        <v>25</v>
      </c>
      <c r="C100" t="s">
        <v>215</v>
      </c>
      <c r="D100">
        <v>39900</v>
      </c>
      <c r="E100" s="2">
        <v>44972.608287037037</v>
      </c>
      <c r="F100" s="1" t="str">
        <f>+TEXT(meli[[#This Row],[date_created]],"HH:MM")</f>
        <v>14:35</v>
      </c>
      <c r="G100" t="s">
        <v>178</v>
      </c>
      <c r="H100" t="s">
        <v>179</v>
      </c>
      <c r="I100" t="s">
        <v>21</v>
      </c>
    </row>
    <row r="101" spans="1:9" x14ac:dyDescent="0.3">
      <c r="A101" t="s">
        <v>216</v>
      </c>
      <c r="B101">
        <v>555872</v>
      </c>
      <c r="C101" t="s">
        <v>217</v>
      </c>
      <c r="D101">
        <v>29900</v>
      </c>
      <c r="E101" s="2">
        <v>43641.645868055559</v>
      </c>
      <c r="F101" s="1" t="str">
        <f>+TEXT(meli[[#This Row],[date_created]],"HH:MM")</f>
        <v>15:30</v>
      </c>
      <c r="G101" t="s">
        <v>218</v>
      </c>
      <c r="H101" t="s">
        <v>219</v>
      </c>
      <c r="I101" t="s">
        <v>12</v>
      </c>
    </row>
    <row r="102" spans="1:9" x14ac:dyDescent="0.3">
      <c r="A102" t="s">
        <v>220</v>
      </c>
      <c r="B102">
        <v>274340</v>
      </c>
      <c r="C102" t="s">
        <v>221</v>
      </c>
      <c r="D102">
        <v>27930</v>
      </c>
      <c r="E102" s="2">
        <v>44914.716296296298</v>
      </c>
      <c r="F102" s="1" t="str">
        <f>+TEXT(meli[[#This Row],[date_created]],"HH:MM")</f>
        <v>17:11</v>
      </c>
      <c r="G102" t="s">
        <v>218</v>
      </c>
      <c r="H102" t="s">
        <v>219</v>
      </c>
      <c r="I102" t="s">
        <v>12</v>
      </c>
    </row>
    <row r="103" spans="1:9" x14ac:dyDescent="0.3">
      <c r="A103" t="s">
        <v>222</v>
      </c>
      <c r="B103">
        <v>185822</v>
      </c>
      <c r="C103" t="s">
        <v>223</v>
      </c>
      <c r="D103">
        <v>27800</v>
      </c>
      <c r="E103" s="2">
        <v>43374.687280092592</v>
      </c>
      <c r="F103" s="1" t="str">
        <f>+TEXT(meli[[#This Row],[date_created]],"HH:MM")</f>
        <v>16:29</v>
      </c>
      <c r="G103" t="s">
        <v>218</v>
      </c>
      <c r="H103" t="s">
        <v>219</v>
      </c>
      <c r="I103" t="s">
        <v>12</v>
      </c>
    </row>
    <row r="104" spans="1:9" x14ac:dyDescent="0.3">
      <c r="A104" t="s">
        <v>224</v>
      </c>
      <c r="B104">
        <v>77002</v>
      </c>
      <c r="C104" t="s">
        <v>225</v>
      </c>
      <c r="D104">
        <v>28440</v>
      </c>
      <c r="E104" s="2">
        <v>43642.431354166663</v>
      </c>
      <c r="F104" s="1" t="str">
        <f>+TEXT(meli[[#This Row],[date_created]],"HH:MM")</f>
        <v>10:21</v>
      </c>
      <c r="G104" t="s">
        <v>218</v>
      </c>
      <c r="H104" t="s">
        <v>219</v>
      </c>
      <c r="I104" t="s">
        <v>12</v>
      </c>
    </row>
    <row r="105" spans="1:9" x14ac:dyDescent="0.3">
      <c r="A105" t="s">
        <v>226</v>
      </c>
      <c r="B105">
        <v>56890</v>
      </c>
      <c r="C105" t="s">
        <v>227</v>
      </c>
      <c r="D105">
        <v>289990</v>
      </c>
      <c r="E105" s="2">
        <v>44914.478750000002</v>
      </c>
      <c r="F105" s="1" t="str">
        <f>+TEXT(meli[[#This Row],[date_created]],"HH:MM")</f>
        <v>11:29</v>
      </c>
      <c r="G105" t="s">
        <v>218</v>
      </c>
      <c r="H105" t="s">
        <v>219</v>
      </c>
      <c r="I105" t="s">
        <v>12</v>
      </c>
    </row>
    <row r="106" spans="1:9" x14ac:dyDescent="0.3">
      <c r="A106" t="s">
        <v>228</v>
      </c>
      <c r="B106">
        <v>34291</v>
      </c>
      <c r="C106" t="s">
        <v>229</v>
      </c>
      <c r="D106">
        <v>705000</v>
      </c>
      <c r="E106" s="2">
        <v>45079.500821759262</v>
      </c>
      <c r="F106" s="1" t="str">
        <f>+TEXT(meli[[#This Row],[date_created]],"HH:MM")</f>
        <v>12:01</v>
      </c>
      <c r="G106" t="s">
        <v>218</v>
      </c>
      <c r="H106" t="s">
        <v>219</v>
      </c>
      <c r="I106" t="s">
        <v>12</v>
      </c>
    </row>
    <row r="107" spans="1:9" x14ac:dyDescent="0.3">
      <c r="A107" t="s">
        <v>230</v>
      </c>
      <c r="B107">
        <v>14715</v>
      </c>
      <c r="C107" t="s">
        <v>231</v>
      </c>
      <c r="D107">
        <v>214000</v>
      </c>
      <c r="E107" s="2">
        <v>45076.875798611109</v>
      </c>
      <c r="F107" s="1" t="str">
        <f>+TEXT(meli[[#This Row],[date_created]],"HH:MM")</f>
        <v>21:01</v>
      </c>
      <c r="G107" t="s">
        <v>218</v>
      </c>
      <c r="H107" t="s">
        <v>219</v>
      </c>
      <c r="I107" t="s">
        <v>12</v>
      </c>
    </row>
    <row r="108" spans="1:9" x14ac:dyDescent="0.3">
      <c r="A108" t="s">
        <v>232</v>
      </c>
      <c r="B108">
        <v>8749</v>
      </c>
      <c r="C108" t="s">
        <v>233</v>
      </c>
      <c r="D108">
        <v>16000</v>
      </c>
      <c r="E108" s="2">
        <v>43880.505601851852</v>
      </c>
      <c r="F108" s="1" t="str">
        <f>+TEXT(meli[[#This Row],[date_created]],"HH:MM")</f>
        <v>12:08</v>
      </c>
      <c r="G108" t="s">
        <v>218</v>
      </c>
      <c r="H108" t="s">
        <v>219</v>
      </c>
      <c r="I108" t="s">
        <v>21</v>
      </c>
    </row>
    <row r="109" spans="1:9" x14ac:dyDescent="0.3">
      <c r="A109" t="s">
        <v>234</v>
      </c>
      <c r="B109">
        <v>5000</v>
      </c>
      <c r="C109" t="s">
        <v>235</v>
      </c>
      <c r="D109">
        <v>298000</v>
      </c>
      <c r="E109" s="2">
        <v>44082.458136574074</v>
      </c>
      <c r="F109" s="1" t="str">
        <f>+TEXT(meli[[#This Row],[date_created]],"HH:MM")</f>
        <v>10:59</v>
      </c>
      <c r="G109" t="s">
        <v>218</v>
      </c>
      <c r="H109" t="s">
        <v>219</v>
      </c>
      <c r="I109" t="s">
        <v>21</v>
      </c>
    </row>
    <row r="110" spans="1:9" x14ac:dyDescent="0.3">
      <c r="A110" t="s">
        <v>236</v>
      </c>
      <c r="B110">
        <v>5000</v>
      </c>
      <c r="C110" t="s">
        <v>237</v>
      </c>
      <c r="D110">
        <v>289990</v>
      </c>
      <c r="E110" s="2">
        <v>44606.520821759259</v>
      </c>
      <c r="F110" s="1" t="str">
        <f>+TEXT(meli[[#This Row],[date_created]],"HH:MM")</f>
        <v>12:29</v>
      </c>
      <c r="G110" t="s">
        <v>218</v>
      </c>
      <c r="H110" t="s">
        <v>219</v>
      </c>
      <c r="I110" t="s">
        <v>21</v>
      </c>
    </row>
    <row r="111" spans="1:9" x14ac:dyDescent="0.3">
      <c r="A111" t="s">
        <v>238</v>
      </c>
      <c r="B111">
        <v>5000</v>
      </c>
      <c r="C111" t="s">
        <v>239</v>
      </c>
      <c r="D111">
        <v>34990</v>
      </c>
      <c r="E111" s="2">
        <v>43329.811423611114</v>
      </c>
      <c r="F111" s="1" t="str">
        <f>+TEXT(meli[[#This Row],[date_created]],"HH:MM")</f>
        <v>19:28</v>
      </c>
      <c r="G111" t="s">
        <v>218</v>
      </c>
      <c r="H111" t="s">
        <v>219</v>
      </c>
      <c r="I111" t="s">
        <v>21</v>
      </c>
    </row>
    <row r="112" spans="1:9" x14ac:dyDescent="0.3">
      <c r="A112" t="s">
        <v>240</v>
      </c>
      <c r="B112">
        <v>5000</v>
      </c>
      <c r="C112" t="s">
        <v>241</v>
      </c>
      <c r="D112">
        <v>318990</v>
      </c>
      <c r="E112" s="2">
        <v>44392.68608796296</v>
      </c>
      <c r="F112" s="1" t="str">
        <f>+TEXT(meli[[#This Row],[date_created]],"HH:MM")</f>
        <v>16:27</v>
      </c>
      <c r="G112" t="s">
        <v>218</v>
      </c>
      <c r="H112" t="s">
        <v>219</v>
      </c>
      <c r="I112" t="s">
        <v>21</v>
      </c>
    </row>
    <row r="113" spans="1:9" x14ac:dyDescent="0.3">
      <c r="A113" t="s">
        <v>242</v>
      </c>
      <c r="B113">
        <v>5000</v>
      </c>
      <c r="C113" t="s">
        <v>243</v>
      </c>
      <c r="D113">
        <v>159271</v>
      </c>
      <c r="E113" s="2">
        <v>44508.978495370371</v>
      </c>
      <c r="F113" s="1" t="str">
        <f>+TEXT(meli[[#This Row],[date_created]],"HH:MM")</f>
        <v>23:29</v>
      </c>
      <c r="G113" t="s">
        <v>218</v>
      </c>
      <c r="H113" t="s">
        <v>219</v>
      </c>
      <c r="I113" t="s">
        <v>21</v>
      </c>
    </row>
    <row r="114" spans="1:9" x14ac:dyDescent="0.3">
      <c r="A114" t="s">
        <v>244</v>
      </c>
      <c r="B114">
        <v>4250</v>
      </c>
      <c r="C114" t="s">
        <v>245</v>
      </c>
      <c r="D114">
        <v>17320</v>
      </c>
      <c r="E114" s="2">
        <v>44008.570289351854</v>
      </c>
      <c r="F114" s="1" t="str">
        <f>+TEXT(meli[[#This Row],[date_created]],"HH:MM")</f>
        <v>13:41</v>
      </c>
      <c r="G114" t="s">
        <v>218</v>
      </c>
      <c r="H114" t="s">
        <v>219</v>
      </c>
      <c r="I114" t="s">
        <v>21</v>
      </c>
    </row>
    <row r="115" spans="1:9" x14ac:dyDescent="0.3">
      <c r="A115" t="s">
        <v>246</v>
      </c>
      <c r="B115">
        <v>3752</v>
      </c>
      <c r="C115" t="s">
        <v>247</v>
      </c>
      <c r="D115">
        <v>77500</v>
      </c>
      <c r="E115" s="2">
        <v>44145.954363425924</v>
      </c>
      <c r="F115" s="1" t="str">
        <f>+TEXT(meli[[#This Row],[date_created]],"HH:MM")</f>
        <v>22:54</v>
      </c>
      <c r="G115" t="s">
        <v>218</v>
      </c>
      <c r="H115" t="s">
        <v>219</v>
      </c>
      <c r="I115" t="s">
        <v>21</v>
      </c>
    </row>
    <row r="116" spans="1:9" x14ac:dyDescent="0.3">
      <c r="A116" t="s">
        <v>248</v>
      </c>
      <c r="B116">
        <v>900</v>
      </c>
      <c r="C116" t="s">
        <v>249</v>
      </c>
      <c r="D116">
        <v>44000</v>
      </c>
      <c r="E116" s="2">
        <v>45098.718449074076</v>
      </c>
      <c r="F116" s="1" t="str">
        <f>+TEXT(meli[[#This Row],[date_created]],"HH:MM")</f>
        <v>17:14</v>
      </c>
      <c r="G116" t="s">
        <v>218</v>
      </c>
      <c r="H116" t="s">
        <v>219</v>
      </c>
      <c r="I116" t="s">
        <v>21</v>
      </c>
    </row>
    <row r="117" spans="1:9" x14ac:dyDescent="0.3">
      <c r="A117" t="s">
        <v>250</v>
      </c>
      <c r="B117">
        <v>500</v>
      </c>
      <c r="C117" t="s">
        <v>251</v>
      </c>
      <c r="D117">
        <v>179991</v>
      </c>
      <c r="E117" s="2">
        <v>44673.744872685187</v>
      </c>
      <c r="F117" s="1" t="str">
        <f>+TEXT(meli[[#This Row],[date_created]],"HH:MM")</f>
        <v>17:52</v>
      </c>
      <c r="G117" t="s">
        <v>218</v>
      </c>
      <c r="H117" t="s">
        <v>219</v>
      </c>
      <c r="I117" t="s">
        <v>21</v>
      </c>
    </row>
    <row r="118" spans="1:9" x14ac:dyDescent="0.3">
      <c r="A118" t="s">
        <v>252</v>
      </c>
      <c r="B118">
        <v>500</v>
      </c>
      <c r="C118" t="s">
        <v>253</v>
      </c>
      <c r="D118">
        <v>12990</v>
      </c>
      <c r="E118" s="2">
        <v>44513.489849537036</v>
      </c>
      <c r="F118" s="1" t="str">
        <f>+TEXT(meli[[#This Row],[date_created]],"HH:MM")</f>
        <v>11:45</v>
      </c>
      <c r="G118" t="s">
        <v>218</v>
      </c>
      <c r="H118" t="s">
        <v>219</v>
      </c>
      <c r="I118" t="s">
        <v>21</v>
      </c>
    </row>
    <row r="119" spans="1:9" x14ac:dyDescent="0.3">
      <c r="A119" t="s">
        <v>254</v>
      </c>
      <c r="B119">
        <v>500</v>
      </c>
      <c r="C119" t="s">
        <v>255</v>
      </c>
      <c r="D119">
        <v>55000</v>
      </c>
      <c r="E119" s="2">
        <v>44519.867858796293</v>
      </c>
      <c r="F119" s="1" t="str">
        <f>+TEXT(meli[[#This Row],[date_created]],"HH:MM")</f>
        <v>20:49</v>
      </c>
      <c r="G119" t="s">
        <v>218</v>
      </c>
      <c r="H119" t="s">
        <v>219</v>
      </c>
      <c r="I119" t="s">
        <v>21</v>
      </c>
    </row>
    <row r="120" spans="1:9" x14ac:dyDescent="0.3">
      <c r="A120" t="s">
        <v>256</v>
      </c>
      <c r="B120">
        <v>500</v>
      </c>
      <c r="C120" t="s">
        <v>257</v>
      </c>
      <c r="D120">
        <v>42000</v>
      </c>
      <c r="E120" s="2">
        <v>44495.668229166666</v>
      </c>
      <c r="F120" s="1" t="str">
        <f>+TEXT(meli[[#This Row],[date_created]],"HH:MM")</f>
        <v>16:02</v>
      </c>
      <c r="G120" t="s">
        <v>218</v>
      </c>
      <c r="H120" t="s">
        <v>219</v>
      </c>
      <c r="I120" t="s">
        <v>21</v>
      </c>
    </row>
    <row r="121" spans="1:9" x14ac:dyDescent="0.3">
      <c r="A121" t="s">
        <v>258</v>
      </c>
      <c r="B121">
        <v>93706</v>
      </c>
      <c r="C121" t="s">
        <v>259</v>
      </c>
      <c r="D121">
        <v>59990</v>
      </c>
      <c r="E121" s="2">
        <v>44252.666076388887</v>
      </c>
      <c r="F121" s="1" t="str">
        <f>+TEXT(meli[[#This Row],[date_created]],"HH:MM")</f>
        <v>15:59</v>
      </c>
      <c r="G121" t="s">
        <v>260</v>
      </c>
      <c r="H121" t="s">
        <v>261</v>
      </c>
      <c r="I121" t="s">
        <v>12</v>
      </c>
    </row>
    <row r="122" spans="1:9" x14ac:dyDescent="0.3">
      <c r="A122" t="s">
        <v>262</v>
      </c>
      <c r="B122">
        <v>81434</v>
      </c>
      <c r="C122" t="s">
        <v>263</v>
      </c>
      <c r="D122">
        <v>99990</v>
      </c>
      <c r="E122" s="2">
        <v>44008.794108796297</v>
      </c>
      <c r="F122" s="1" t="str">
        <f>+TEXT(meli[[#This Row],[date_created]],"HH:MM")</f>
        <v>19:03</v>
      </c>
      <c r="G122" t="s">
        <v>260</v>
      </c>
      <c r="H122" t="s">
        <v>261</v>
      </c>
      <c r="I122" t="s">
        <v>12</v>
      </c>
    </row>
    <row r="123" spans="1:9" x14ac:dyDescent="0.3">
      <c r="A123" t="s">
        <v>264</v>
      </c>
      <c r="B123">
        <v>79528</v>
      </c>
      <c r="C123" t="s">
        <v>265</v>
      </c>
      <c r="D123">
        <v>67290</v>
      </c>
      <c r="E123" s="2">
        <v>44008.79409722222</v>
      </c>
      <c r="F123" s="1" t="str">
        <f>+TEXT(meli[[#This Row],[date_created]],"HH:MM")</f>
        <v>19:03</v>
      </c>
      <c r="G123" t="s">
        <v>260</v>
      </c>
      <c r="H123" t="s">
        <v>261</v>
      </c>
      <c r="I123" t="s">
        <v>12</v>
      </c>
    </row>
    <row r="124" spans="1:9" x14ac:dyDescent="0.3">
      <c r="A124" t="s">
        <v>266</v>
      </c>
      <c r="B124">
        <v>64718</v>
      </c>
      <c r="C124" t="s">
        <v>267</v>
      </c>
      <c r="D124">
        <v>59990</v>
      </c>
      <c r="E124" s="2">
        <v>44252.666076388887</v>
      </c>
      <c r="F124" s="1" t="str">
        <f>+TEXT(meli[[#This Row],[date_created]],"HH:MM")</f>
        <v>15:59</v>
      </c>
      <c r="G124" t="s">
        <v>260</v>
      </c>
      <c r="H124" t="s">
        <v>261</v>
      </c>
      <c r="I124" t="s">
        <v>12</v>
      </c>
    </row>
    <row r="125" spans="1:9" x14ac:dyDescent="0.3">
      <c r="A125" t="s">
        <v>268</v>
      </c>
      <c r="B125">
        <v>54811</v>
      </c>
      <c r="C125" t="s">
        <v>269</v>
      </c>
      <c r="D125">
        <v>212415</v>
      </c>
      <c r="E125" s="2">
        <v>44049.800509259258</v>
      </c>
      <c r="F125" s="1" t="str">
        <f>+TEXT(meli[[#This Row],[date_created]],"HH:MM")</f>
        <v>19:12</v>
      </c>
      <c r="G125" t="s">
        <v>260</v>
      </c>
      <c r="H125" t="s">
        <v>261</v>
      </c>
      <c r="I125" t="s">
        <v>12</v>
      </c>
    </row>
    <row r="126" spans="1:9" x14ac:dyDescent="0.3">
      <c r="A126" t="s">
        <v>270</v>
      </c>
      <c r="B126">
        <v>53938</v>
      </c>
      <c r="C126" t="s">
        <v>271</v>
      </c>
      <c r="D126">
        <v>99990</v>
      </c>
      <c r="E126" s="2">
        <v>44008.794085648151</v>
      </c>
      <c r="F126" s="1" t="str">
        <f>+TEXT(meli[[#This Row],[date_created]],"HH:MM")</f>
        <v>19:03</v>
      </c>
      <c r="G126" t="s">
        <v>260</v>
      </c>
      <c r="H126" t="s">
        <v>261</v>
      </c>
      <c r="I126" t="s">
        <v>12</v>
      </c>
    </row>
    <row r="127" spans="1:9" x14ac:dyDescent="0.3">
      <c r="A127" t="s">
        <v>272</v>
      </c>
      <c r="B127">
        <v>47786</v>
      </c>
      <c r="C127" t="s">
        <v>273</v>
      </c>
      <c r="D127">
        <v>4579</v>
      </c>
      <c r="E127" s="2">
        <v>44050.676921296297</v>
      </c>
      <c r="F127" s="1" t="str">
        <f>+TEXT(meli[[#This Row],[date_created]],"HH:MM")</f>
        <v>16:14</v>
      </c>
      <c r="G127" t="s">
        <v>260</v>
      </c>
      <c r="H127" t="s">
        <v>261</v>
      </c>
      <c r="I127" t="s">
        <v>12</v>
      </c>
    </row>
    <row r="128" spans="1:9" x14ac:dyDescent="0.3">
      <c r="A128" t="s">
        <v>274</v>
      </c>
      <c r="B128">
        <v>46932</v>
      </c>
      <c r="C128" t="s">
        <v>275</v>
      </c>
      <c r="D128">
        <v>77500</v>
      </c>
      <c r="E128" s="2">
        <v>44267.627060185187</v>
      </c>
      <c r="F128" s="1" t="str">
        <f>+TEXT(meli[[#This Row],[date_created]],"HH:MM")</f>
        <v>15:02</v>
      </c>
      <c r="G128" t="s">
        <v>260</v>
      </c>
      <c r="H128" t="s">
        <v>261</v>
      </c>
      <c r="I128" t="s">
        <v>12</v>
      </c>
    </row>
    <row r="129" spans="1:9" x14ac:dyDescent="0.3">
      <c r="A129" t="s">
        <v>276</v>
      </c>
      <c r="B129">
        <v>39180</v>
      </c>
      <c r="C129" t="s">
        <v>277</v>
      </c>
      <c r="D129">
        <v>129330</v>
      </c>
      <c r="E129" s="2">
        <v>44768.793483796297</v>
      </c>
      <c r="F129" s="1" t="str">
        <f>+TEXT(meli[[#This Row],[date_created]],"HH:MM")</f>
        <v>19:02</v>
      </c>
      <c r="G129" t="s">
        <v>260</v>
      </c>
      <c r="H129" t="s">
        <v>261</v>
      </c>
      <c r="I129" t="s">
        <v>12</v>
      </c>
    </row>
    <row r="130" spans="1:9" x14ac:dyDescent="0.3">
      <c r="A130" t="s">
        <v>278</v>
      </c>
      <c r="B130">
        <v>28988</v>
      </c>
      <c r="C130" t="s">
        <v>279</v>
      </c>
      <c r="D130">
        <v>125000</v>
      </c>
      <c r="E130" s="2">
        <v>44768.793483796297</v>
      </c>
      <c r="F130" s="1" t="str">
        <f>+TEXT(meli[[#This Row],[date_created]],"HH:MM")</f>
        <v>19:02</v>
      </c>
      <c r="G130" t="s">
        <v>260</v>
      </c>
      <c r="H130" t="s">
        <v>261</v>
      </c>
      <c r="I130" t="s">
        <v>12</v>
      </c>
    </row>
    <row r="131" spans="1:9" x14ac:dyDescent="0.3">
      <c r="A131" t="s">
        <v>280</v>
      </c>
      <c r="B131">
        <v>25502</v>
      </c>
      <c r="C131" t="s">
        <v>281</v>
      </c>
      <c r="D131">
        <v>50250</v>
      </c>
      <c r="E131" s="2">
        <v>43336.590983796297</v>
      </c>
      <c r="F131" s="1" t="str">
        <f>+TEXT(meli[[#This Row],[date_created]],"HH:MM")</f>
        <v>14:11</v>
      </c>
      <c r="G131" t="s">
        <v>260</v>
      </c>
      <c r="H131" t="s">
        <v>261</v>
      </c>
      <c r="I131" t="s">
        <v>12</v>
      </c>
    </row>
    <row r="132" spans="1:9" x14ac:dyDescent="0.3">
      <c r="A132" t="s">
        <v>282</v>
      </c>
      <c r="B132">
        <v>23442</v>
      </c>
      <c r="C132" t="s">
        <v>283</v>
      </c>
      <c r="D132">
        <v>184800</v>
      </c>
      <c r="E132" s="2">
        <v>43587.640960648147</v>
      </c>
      <c r="F132" s="1" t="str">
        <f>+TEXT(meli[[#This Row],[date_created]],"HH:MM")</f>
        <v>15:22</v>
      </c>
      <c r="G132" t="s">
        <v>260</v>
      </c>
      <c r="H132" t="s">
        <v>261</v>
      </c>
      <c r="I132" t="s">
        <v>12</v>
      </c>
    </row>
    <row r="133" spans="1:9" x14ac:dyDescent="0.3">
      <c r="A133" t="s">
        <v>284</v>
      </c>
      <c r="B133">
        <v>21922</v>
      </c>
      <c r="C133" t="s">
        <v>285</v>
      </c>
      <c r="D133">
        <v>9860</v>
      </c>
      <c r="E133" s="2">
        <v>44812.755567129629</v>
      </c>
      <c r="F133" s="1" t="str">
        <f>+TEXT(meli[[#This Row],[date_created]],"HH:MM")</f>
        <v>18:08</v>
      </c>
      <c r="G133" t="s">
        <v>260</v>
      </c>
      <c r="H133" t="s">
        <v>261</v>
      </c>
      <c r="I133" t="s">
        <v>12</v>
      </c>
    </row>
    <row r="134" spans="1:9" x14ac:dyDescent="0.3">
      <c r="A134" t="s">
        <v>286</v>
      </c>
      <c r="B134">
        <v>15680</v>
      </c>
      <c r="C134" t="s">
        <v>287</v>
      </c>
      <c r="D134">
        <v>70100</v>
      </c>
      <c r="E134" s="2">
        <v>44768.793483796297</v>
      </c>
      <c r="F134" s="1" t="str">
        <f>+TEXT(meli[[#This Row],[date_created]],"HH:MM")</f>
        <v>19:02</v>
      </c>
      <c r="G134" t="s">
        <v>260</v>
      </c>
      <c r="H134" t="s">
        <v>261</v>
      </c>
      <c r="I134" t="s">
        <v>12</v>
      </c>
    </row>
    <row r="135" spans="1:9" x14ac:dyDescent="0.3">
      <c r="A135" t="s">
        <v>288</v>
      </c>
      <c r="B135">
        <v>7005</v>
      </c>
      <c r="C135" t="s">
        <v>289</v>
      </c>
      <c r="D135">
        <v>157500</v>
      </c>
      <c r="E135" s="2">
        <v>45070.648981481485</v>
      </c>
      <c r="F135" s="1" t="str">
        <f>+TEXT(meli[[#This Row],[date_created]],"HH:MM")</f>
        <v>15:34</v>
      </c>
      <c r="G135" t="s">
        <v>260</v>
      </c>
      <c r="H135" t="s">
        <v>261</v>
      </c>
      <c r="I135" t="s">
        <v>12</v>
      </c>
    </row>
    <row r="136" spans="1:9" x14ac:dyDescent="0.3">
      <c r="A136" t="s">
        <v>290</v>
      </c>
      <c r="B136">
        <v>5569</v>
      </c>
      <c r="C136" t="s">
        <v>291</v>
      </c>
      <c r="D136">
        <v>89990</v>
      </c>
      <c r="E136" s="2">
        <v>44957.872442129628</v>
      </c>
      <c r="F136" s="1" t="str">
        <f>+TEXT(meli[[#This Row],[date_created]],"HH:MM")</f>
        <v>20:56</v>
      </c>
      <c r="G136" t="s">
        <v>260</v>
      </c>
      <c r="H136" t="s">
        <v>261</v>
      </c>
      <c r="I136" t="s">
        <v>12</v>
      </c>
    </row>
    <row r="137" spans="1:9" x14ac:dyDescent="0.3">
      <c r="A137" t="s">
        <v>292</v>
      </c>
      <c r="B137">
        <v>5074</v>
      </c>
      <c r="C137" t="s">
        <v>293</v>
      </c>
      <c r="D137">
        <v>163500</v>
      </c>
      <c r="E137" s="2">
        <v>45022.811238425929</v>
      </c>
      <c r="F137" s="1" t="str">
        <f>+TEXT(meli[[#This Row],[date_created]],"HH:MM")</f>
        <v>19:28</v>
      </c>
      <c r="G137" t="s">
        <v>260</v>
      </c>
      <c r="H137" t="s">
        <v>261</v>
      </c>
      <c r="I137" t="s">
        <v>12</v>
      </c>
    </row>
    <row r="138" spans="1:9" x14ac:dyDescent="0.3">
      <c r="A138" t="s">
        <v>294</v>
      </c>
      <c r="B138">
        <v>1950</v>
      </c>
      <c r="C138" t="s">
        <v>295</v>
      </c>
      <c r="D138">
        <v>65365</v>
      </c>
      <c r="E138" s="2">
        <v>44259.428483796299</v>
      </c>
      <c r="F138" s="1" t="str">
        <f>+TEXT(meli[[#This Row],[date_created]],"HH:MM")</f>
        <v>10:17</v>
      </c>
      <c r="G138" t="s">
        <v>260</v>
      </c>
      <c r="H138" t="s">
        <v>261</v>
      </c>
      <c r="I138" t="s">
        <v>21</v>
      </c>
    </row>
    <row r="139" spans="1:9" x14ac:dyDescent="0.3">
      <c r="A139" t="s">
        <v>296</v>
      </c>
      <c r="B139">
        <v>100</v>
      </c>
      <c r="C139" t="s">
        <v>297</v>
      </c>
      <c r="D139">
        <v>94500</v>
      </c>
      <c r="E139" s="2">
        <v>44540.655162037037</v>
      </c>
      <c r="F139" s="1" t="str">
        <f>+TEXT(meli[[#This Row],[date_created]],"HH:MM")</f>
        <v>15:43</v>
      </c>
      <c r="G139" t="s">
        <v>260</v>
      </c>
      <c r="H139" t="s">
        <v>261</v>
      </c>
      <c r="I139" t="s">
        <v>21</v>
      </c>
    </row>
    <row r="140" spans="1:9" x14ac:dyDescent="0.3">
      <c r="A140" t="s">
        <v>298</v>
      </c>
      <c r="B140">
        <v>3</v>
      </c>
      <c r="C140" t="s">
        <v>299</v>
      </c>
      <c r="D140">
        <v>207990</v>
      </c>
      <c r="E140" s="2">
        <v>44868.38689814815</v>
      </c>
      <c r="F140" s="1" t="str">
        <f>+TEXT(meli[[#This Row],[date_created]],"HH:MM")</f>
        <v>09:17</v>
      </c>
      <c r="G140" t="s">
        <v>260</v>
      </c>
      <c r="H140" t="s">
        <v>261</v>
      </c>
      <c r="I140" t="s">
        <v>21</v>
      </c>
    </row>
    <row r="141" spans="1:9" x14ac:dyDescent="0.3">
      <c r="A141" t="s">
        <v>300</v>
      </c>
      <c r="B141">
        <v>149096</v>
      </c>
      <c r="C141" t="s">
        <v>301</v>
      </c>
      <c r="D141">
        <v>79250</v>
      </c>
      <c r="E141" s="2">
        <v>44622.783564814818</v>
      </c>
      <c r="F141" s="1" t="str">
        <f>+TEXT(meli[[#This Row],[date_created]],"HH:MM")</f>
        <v>18:48</v>
      </c>
      <c r="G141" t="s">
        <v>302</v>
      </c>
      <c r="H141" t="s">
        <v>303</v>
      </c>
      <c r="I141" t="s">
        <v>12</v>
      </c>
    </row>
    <row r="142" spans="1:9" x14ac:dyDescent="0.3">
      <c r="A142" t="s">
        <v>304</v>
      </c>
      <c r="B142">
        <v>64136</v>
      </c>
      <c r="C142" t="s">
        <v>305</v>
      </c>
      <c r="D142">
        <v>58270</v>
      </c>
      <c r="E142" s="2">
        <v>44623.666886574072</v>
      </c>
      <c r="F142" s="1" t="str">
        <f>+TEXT(meli[[#This Row],[date_created]],"HH:MM")</f>
        <v>16:00</v>
      </c>
      <c r="G142" t="s">
        <v>302</v>
      </c>
      <c r="H142" t="s">
        <v>303</v>
      </c>
      <c r="I142" t="s">
        <v>12</v>
      </c>
    </row>
    <row r="143" spans="1:9" x14ac:dyDescent="0.3">
      <c r="A143" t="s">
        <v>306</v>
      </c>
      <c r="B143">
        <v>60610</v>
      </c>
      <c r="C143" t="s">
        <v>307</v>
      </c>
      <c r="D143">
        <v>32690</v>
      </c>
      <c r="E143" s="2">
        <v>44454.677465277775</v>
      </c>
      <c r="F143" s="1" t="str">
        <f>+TEXT(meli[[#This Row],[date_created]],"HH:MM")</f>
        <v>16:15</v>
      </c>
      <c r="G143" t="s">
        <v>302</v>
      </c>
      <c r="H143" t="s">
        <v>303</v>
      </c>
      <c r="I143" t="s">
        <v>12</v>
      </c>
    </row>
    <row r="144" spans="1:9" x14ac:dyDescent="0.3">
      <c r="A144" t="s">
        <v>308</v>
      </c>
      <c r="B144">
        <v>58558</v>
      </c>
      <c r="C144" t="s">
        <v>309</v>
      </c>
      <c r="D144">
        <v>106250</v>
      </c>
      <c r="E144" s="2">
        <v>44070.727581018517</v>
      </c>
      <c r="F144" s="1" t="str">
        <f>+TEXT(meli[[#This Row],[date_created]],"HH:MM")</f>
        <v>17:27</v>
      </c>
      <c r="G144" t="s">
        <v>302</v>
      </c>
      <c r="H144" t="s">
        <v>303</v>
      </c>
      <c r="I144" t="s">
        <v>12</v>
      </c>
    </row>
    <row r="145" spans="1:9" x14ac:dyDescent="0.3">
      <c r="A145" t="s">
        <v>310</v>
      </c>
      <c r="B145">
        <v>57761</v>
      </c>
      <c r="C145" t="s">
        <v>311</v>
      </c>
      <c r="D145">
        <v>194447</v>
      </c>
      <c r="E145" s="2">
        <v>44245.47892361111</v>
      </c>
      <c r="F145" s="1" t="str">
        <f>+TEXT(meli[[#This Row],[date_created]],"HH:MM")</f>
        <v>11:29</v>
      </c>
      <c r="G145" t="s">
        <v>302</v>
      </c>
      <c r="H145" t="s">
        <v>303</v>
      </c>
      <c r="I145" t="s">
        <v>12</v>
      </c>
    </row>
    <row r="146" spans="1:9" x14ac:dyDescent="0.3">
      <c r="A146" t="s">
        <v>312</v>
      </c>
      <c r="B146">
        <v>55218</v>
      </c>
      <c r="C146" t="s">
        <v>313</v>
      </c>
      <c r="D146">
        <v>203900</v>
      </c>
      <c r="E146" s="2">
        <v>43927.707708333335</v>
      </c>
      <c r="F146" s="1" t="str">
        <f>+TEXT(meli[[#This Row],[date_created]],"HH:MM")</f>
        <v>16:59</v>
      </c>
      <c r="G146" t="s">
        <v>302</v>
      </c>
      <c r="H146" t="s">
        <v>303</v>
      </c>
      <c r="I146" t="s">
        <v>12</v>
      </c>
    </row>
    <row r="147" spans="1:9" x14ac:dyDescent="0.3">
      <c r="A147" t="s">
        <v>314</v>
      </c>
      <c r="B147">
        <v>27588</v>
      </c>
      <c r="C147" t="s">
        <v>315</v>
      </c>
      <c r="D147">
        <v>138150</v>
      </c>
      <c r="E147" s="2">
        <v>42375.921296296299</v>
      </c>
      <c r="F147" s="1" t="str">
        <f>+TEXT(meli[[#This Row],[date_created]],"HH:MM")</f>
        <v>22:06</v>
      </c>
      <c r="G147" t="s">
        <v>302</v>
      </c>
      <c r="H147" t="s">
        <v>303</v>
      </c>
      <c r="I147" t="s">
        <v>12</v>
      </c>
    </row>
    <row r="148" spans="1:9" x14ac:dyDescent="0.3">
      <c r="A148" t="s">
        <v>316</v>
      </c>
      <c r="B148">
        <v>22744</v>
      </c>
      <c r="C148" t="s">
        <v>317</v>
      </c>
      <c r="D148">
        <v>194990</v>
      </c>
      <c r="E148" s="2">
        <v>44494.738263888888</v>
      </c>
      <c r="F148" s="1" t="str">
        <f>+TEXT(meli[[#This Row],[date_created]],"HH:MM")</f>
        <v>17:43</v>
      </c>
      <c r="G148" t="s">
        <v>302</v>
      </c>
      <c r="H148" t="s">
        <v>303</v>
      </c>
      <c r="I148" t="s">
        <v>12</v>
      </c>
    </row>
    <row r="149" spans="1:9" x14ac:dyDescent="0.3">
      <c r="A149" t="s">
        <v>318</v>
      </c>
      <c r="B149">
        <v>21023</v>
      </c>
      <c r="C149" t="s">
        <v>319</v>
      </c>
      <c r="D149">
        <v>92130</v>
      </c>
      <c r="E149" s="2">
        <v>44902.840439814812</v>
      </c>
      <c r="F149" s="1" t="str">
        <f>+TEXT(meli[[#This Row],[date_created]],"HH:MM")</f>
        <v>20:10</v>
      </c>
      <c r="G149" t="s">
        <v>302</v>
      </c>
      <c r="H149" t="s">
        <v>303</v>
      </c>
      <c r="I149" t="s">
        <v>12</v>
      </c>
    </row>
    <row r="150" spans="1:9" x14ac:dyDescent="0.3">
      <c r="A150" t="s">
        <v>320</v>
      </c>
      <c r="B150">
        <v>19250</v>
      </c>
      <c r="C150" t="s">
        <v>321</v>
      </c>
      <c r="D150">
        <v>187509</v>
      </c>
      <c r="E150" s="2">
        <v>44900.775138888886</v>
      </c>
      <c r="F150" s="1" t="str">
        <f>+TEXT(meli[[#This Row],[date_created]],"HH:MM")</f>
        <v>18:36</v>
      </c>
      <c r="G150" t="s">
        <v>302</v>
      </c>
      <c r="H150" t="s">
        <v>303</v>
      </c>
      <c r="I150" t="s">
        <v>12</v>
      </c>
    </row>
    <row r="151" spans="1:9" x14ac:dyDescent="0.3">
      <c r="A151" t="s">
        <v>322</v>
      </c>
      <c r="B151">
        <v>13768</v>
      </c>
      <c r="C151" t="s">
        <v>323</v>
      </c>
      <c r="D151">
        <v>134010</v>
      </c>
      <c r="E151" s="2">
        <v>44761.471122685187</v>
      </c>
      <c r="F151" s="1" t="str">
        <f>+TEXT(meli[[#This Row],[date_created]],"HH:MM")</f>
        <v>11:18</v>
      </c>
      <c r="G151" t="s">
        <v>302</v>
      </c>
      <c r="H151" t="s">
        <v>303</v>
      </c>
      <c r="I151" t="s">
        <v>12</v>
      </c>
    </row>
    <row r="152" spans="1:9" x14ac:dyDescent="0.3">
      <c r="A152" t="s">
        <v>324</v>
      </c>
      <c r="B152">
        <v>13109</v>
      </c>
      <c r="C152" t="s">
        <v>325</v>
      </c>
      <c r="D152">
        <v>17580</v>
      </c>
      <c r="E152" s="2">
        <v>44900.775138888886</v>
      </c>
      <c r="F152" s="1" t="str">
        <f>+TEXT(meli[[#This Row],[date_created]],"HH:MM")</f>
        <v>18:36</v>
      </c>
      <c r="G152" t="s">
        <v>302</v>
      </c>
      <c r="H152" t="s">
        <v>303</v>
      </c>
      <c r="I152" t="s">
        <v>12</v>
      </c>
    </row>
    <row r="153" spans="1:9" x14ac:dyDescent="0.3">
      <c r="A153" t="s">
        <v>326</v>
      </c>
      <c r="B153">
        <v>12257</v>
      </c>
      <c r="C153" t="s">
        <v>327</v>
      </c>
      <c r="D153">
        <v>51000</v>
      </c>
      <c r="E153" s="2">
        <v>45076.17596064815</v>
      </c>
      <c r="F153" s="1" t="str">
        <f>+TEXT(meli[[#This Row],[date_created]],"HH:MM")</f>
        <v>04:13</v>
      </c>
      <c r="G153" t="s">
        <v>302</v>
      </c>
      <c r="H153" t="s">
        <v>303</v>
      </c>
      <c r="I153" t="s">
        <v>12</v>
      </c>
    </row>
    <row r="154" spans="1:9" x14ac:dyDescent="0.3">
      <c r="A154" t="s">
        <v>328</v>
      </c>
      <c r="B154">
        <v>11582</v>
      </c>
      <c r="C154" t="s">
        <v>329</v>
      </c>
      <c r="D154">
        <v>83990</v>
      </c>
      <c r="E154" s="2">
        <v>44488.716562499998</v>
      </c>
      <c r="F154" s="1" t="str">
        <f>+TEXT(meli[[#This Row],[date_created]],"HH:MM")</f>
        <v>17:11</v>
      </c>
      <c r="G154" t="s">
        <v>302</v>
      </c>
      <c r="H154" t="s">
        <v>303</v>
      </c>
      <c r="I154" t="s">
        <v>12</v>
      </c>
    </row>
    <row r="155" spans="1:9" x14ac:dyDescent="0.3">
      <c r="A155" t="s">
        <v>330</v>
      </c>
      <c r="B155">
        <v>11540</v>
      </c>
      <c r="C155" t="s">
        <v>331</v>
      </c>
      <c r="D155">
        <v>50900</v>
      </c>
      <c r="E155" s="2">
        <v>44894.446157407408</v>
      </c>
      <c r="F155" s="1" t="str">
        <f>+TEXT(meli[[#This Row],[date_created]],"HH:MM")</f>
        <v>10:42</v>
      </c>
      <c r="G155" t="s">
        <v>302</v>
      </c>
      <c r="H155" t="s">
        <v>303</v>
      </c>
      <c r="I155" t="s">
        <v>12</v>
      </c>
    </row>
    <row r="156" spans="1:9" x14ac:dyDescent="0.3">
      <c r="A156" t="s">
        <v>332</v>
      </c>
      <c r="B156">
        <v>9713</v>
      </c>
      <c r="C156" t="s">
        <v>333</v>
      </c>
      <c r="D156">
        <v>92390</v>
      </c>
      <c r="E156" s="2">
        <v>45019.620949074073</v>
      </c>
      <c r="F156" s="1" t="str">
        <f>+TEXT(meli[[#This Row],[date_created]],"HH:MM")</f>
        <v>14:54</v>
      </c>
      <c r="G156" t="s">
        <v>302</v>
      </c>
      <c r="H156" t="s">
        <v>303</v>
      </c>
      <c r="I156" t="s">
        <v>12</v>
      </c>
    </row>
    <row r="157" spans="1:9" x14ac:dyDescent="0.3">
      <c r="A157" t="s">
        <v>334</v>
      </c>
      <c r="B157">
        <v>8497</v>
      </c>
      <c r="C157" t="s">
        <v>335</v>
      </c>
      <c r="D157">
        <v>130480</v>
      </c>
      <c r="E157" s="2">
        <v>44831.835682870369</v>
      </c>
      <c r="F157" s="1" t="str">
        <f>+TEXT(meli[[#This Row],[date_created]],"HH:MM")</f>
        <v>20:03</v>
      </c>
      <c r="G157" t="s">
        <v>302</v>
      </c>
      <c r="H157" t="s">
        <v>303</v>
      </c>
      <c r="I157" t="s">
        <v>12</v>
      </c>
    </row>
    <row r="158" spans="1:9" x14ac:dyDescent="0.3">
      <c r="A158" t="s">
        <v>336</v>
      </c>
      <c r="B158">
        <v>7577</v>
      </c>
      <c r="C158" t="s">
        <v>337</v>
      </c>
      <c r="D158">
        <v>98875</v>
      </c>
      <c r="E158" s="2">
        <v>44881.752349537041</v>
      </c>
      <c r="F158" s="1" t="str">
        <f>+TEXT(meli[[#This Row],[date_created]],"HH:MM")</f>
        <v>18:03</v>
      </c>
      <c r="G158" t="s">
        <v>302</v>
      </c>
      <c r="H158" t="s">
        <v>303</v>
      </c>
      <c r="I158" t="s">
        <v>12</v>
      </c>
    </row>
    <row r="159" spans="1:9" x14ac:dyDescent="0.3">
      <c r="A159" t="s">
        <v>338</v>
      </c>
      <c r="B159">
        <v>5500</v>
      </c>
      <c r="C159" t="s">
        <v>339</v>
      </c>
      <c r="D159">
        <v>156400</v>
      </c>
      <c r="E159" s="2">
        <v>44707.533101851855</v>
      </c>
      <c r="F159" s="1" t="str">
        <f>+TEXT(meli[[#This Row],[date_created]],"HH:MM")</f>
        <v>12:47</v>
      </c>
      <c r="G159" t="s">
        <v>302</v>
      </c>
      <c r="H159" t="s">
        <v>303</v>
      </c>
      <c r="I159" t="s">
        <v>21</v>
      </c>
    </row>
    <row r="160" spans="1:9" x14ac:dyDescent="0.3">
      <c r="A160" t="s">
        <v>340</v>
      </c>
      <c r="B160">
        <v>4120</v>
      </c>
      <c r="C160" t="s">
        <v>341</v>
      </c>
      <c r="D160">
        <v>149990</v>
      </c>
      <c r="E160" s="2">
        <v>44973.618506944447</v>
      </c>
      <c r="F160" s="1" t="str">
        <f>+TEXT(meli[[#This Row],[date_created]],"HH:MM")</f>
        <v>14:50</v>
      </c>
      <c r="G160" t="s">
        <v>302</v>
      </c>
      <c r="H160" t="s">
        <v>303</v>
      </c>
      <c r="I160" t="s">
        <v>12</v>
      </c>
    </row>
    <row r="161" spans="1:9" x14ac:dyDescent="0.3">
      <c r="A161" t="s">
        <v>342</v>
      </c>
      <c r="B161">
        <v>248418</v>
      </c>
      <c r="C161" t="s">
        <v>343</v>
      </c>
      <c r="D161">
        <v>127990</v>
      </c>
      <c r="E161" s="2">
        <v>43811.74322916667</v>
      </c>
      <c r="F161" s="1" t="str">
        <f>+TEXT(meli[[#This Row],[date_created]],"HH:MM")</f>
        <v>17:50</v>
      </c>
      <c r="G161" t="s">
        <v>344</v>
      </c>
      <c r="H161" t="s">
        <v>345</v>
      </c>
      <c r="I161" t="s">
        <v>12</v>
      </c>
    </row>
    <row r="162" spans="1:9" x14ac:dyDescent="0.3">
      <c r="A162" t="s">
        <v>346</v>
      </c>
      <c r="B162">
        <v>107156</v>
      </c>
      <c r="C162" t="s">
        <v>347</v>
      </c>
      <c r="D162">
        <v>142430</v>
      </c>
      <c r="E162" s="2">
        <v>44651.817245370374</v>
      </c>
      <c r="F162" s="1" t="str">
        <f>+TEXT(meli[[#This Row],[date_created]],"HH:MM")</f>
        <v>19:36</v>
      </c>
      <c r="G162" t="s">
        <v>344</v>
      </c>
      <c r="H162" t="s">
        <v>345</v>
      </c>
      <c r="I162" t="s">
        <v>12</v>
      </c>
    </row>
    <row r="163" spans="1:9" x14ac:dyDescent="0.3">
      <c r="A163" t="s">
        <v>348</v>
      </c>
      <c r="B163">
        <v>52038</v>
      </c>
      <c r="C163" t="s">
        <v>349</v>
      </c>
      <c r="D163">
        <v>3010455</v>
      </c>
      <c r="E163" s="2">
        <v>44734.510162037041</v>
      </c>
      <c r="F163" s="1" t="str">
        <f>+TEXT(meli[[#This Row],[date_created]],"HH:MM")</f>
        <v>12:14</v>
      </c>
      <c r="G163" t="s">
        <v>344</v>
      </c>
      <c r="H163" t="s">
        <v>345</v>
      </c>
      <c r="I163" t="s">
        <v>12</v>
      </c>
    </row>
    <row r="164" spans="1:9" x14ac:dyDescent="0.3">
      <c r="A164" t="s">
        <v>350</v>
      </c>
      <c r="B164">
        <v>50000</v>
      </c>
      <c r="C164" t="s">
        <v>351</v>
      </c>
      <c r="D164">
        <v>89550</v>
      </c>
      <c r="E164" s="2">
        <v>44092.724479166667</v>
      </c>
      <c r="F164" s="1" t="str">
        <f>+TEXT(meli[[#This Row],[date_created]],"HH:MM")</f>
        <v>17:23</v>
      </c>
      <c r="G164" t="s">
        <v>344</v>
      </c>
      <c r="H164" t="s">
        <v>345</v>
      </c>
      <c r="I164" t="s">
        <v>21</v>
      </c>
    </row>
    <row r="165" spans="1:9" x14ac:dyDescent="0.3">
      <c r="A165" t="s">
        <v>352</v>
      </c>
      <c r="B165">
        <v>40196</v>
      </c>
      <c r="C165" t="s">
        <v>353</v>
      </c>
      <c r="D165">
        <v>78200</v>
      </c>
      <c r="E165" s="2">
        <v>44032.520243055558</v>
      </c>
      <c r="F165" s="1" t="str">
        <f>+TEXT(meli[[#This Row],[date_created]],"HH:MM")</f>
        <v>12:29</v>
      </c>
      <c r="G165" t="s">
        <v>344</v>
      </c>
      <c r="H165" t="s">
        <v>345</v>
      </c>
      <c r="I165" t="s">
        <v>12</v>
      </c>
    </row>
    <row r="166" spans="1:9" x14ac:dyDescent="0.3">
      <c r="A166" t="s">
        <v>354</v>
      </c>
      <c r="B166">
        <v>24198</v>
      </c>
      <c r="C166" t="s">
        <v>355</v>
      </c>
      <c r="D166">
        <v>969990</v>
      </c>
      <c r="E166" s="2">
        <v>44930.683564814812</v>
      </c>
      <c r="F166" s="1" t="str">
        <f>+TEXT(meli[[#This Row],[date_created]],"HH:MM")</f>
        <v>16:24</v>
      </c>
      <c r="G166" t="s">
        <v>344</v>
      </c>
      <c r="H166" t="s">
        <v>345</v>
      </c>
      <c r="I166" t="s">
        <v>12</v>
      </c>
    </row>
    <row r="167" spans="1:9" x14ac:dyDescent="0.3">
      <c r="A167" t="s">
        <v>356</v>
      </c>
      <c r="B167">
        <v>18604</v>
      </c>
      <c r="C167" t="s">
        <v>357</v>
      </c>
      <c r="D167">
        <v>679990</v>
      </c>
      <c r="E167" s="2">
        <v>44999.835347222222</v>
      </c>
      <c r="F167" s="1" t="str">
        <f>+TEXT(meli[[#This Row],[date_created]],"HH:MM")</f>
        <v>20:02</v>
      </c>
      <c r="G167" t="s">
        <v>344</v>
      </c>
      <c r="H167" t="s">
        <v>345</v>
      </c>
      <c r="I167" t="s">
        <v>12</v>
      </c>
    </row>
    <row r="168" spans="1:9" x14ac:dyDescent="0.3">
      <c r="A168" t="s">
        <v>358</v>
      </c>
      <c r="B168">
        <v>11453</v>
      </c>
      <c r="C168" t="s">
        <v>359</v>
      </c>
      <c r="D168">
        <v>979990</v>
      </c>
      <c r="E168" s="2">
        <v>44907.85229166667</v>
      </c>
      <c r="F168" s="1" t="str">
        <f>+TEXT(meli[[#This Row],[date_created]],"HH:MM")</f>
        <v>20:27</v>
      </c>
      <c r="G168" t="s">
        <v>344</v>
      </c>
      <c r="H168" t="s">
        <v>345</v>
      </c>
      <c r="I168" t="s">
        <v>12</v>
      </c>
    </row>
    <row r="169" spans="1:9" x14ac:dyDescent="0.3">
      <c r="A169" t="s">
        <v>360</v>
      </c>
      <c r="B169">
        <v>11226</v>
      </c>
      <c r="C169" t="s">
        <v>361</v>
      </c>
      <c r="D169">
        <v>1229990</v>
      </c>
      <c r="E169" s="2">
        <v>45040.823136574072</v>
      </c>
      <c r="F169" s="1" t="str">
        <f>+TEXT(meli[[#This Row],[date_created]],"HH:MM")</f>
        <v>19:45</v>
      </c>
      <c r="G169" t="s">
        <v>344</v>
      </c>
      <c r="H169" t="s">
        <v>345</v>
      </c>
      <c r="I169" t="s">
        <v>12</v>
      </c>
    </row>
    <row r="170" spans="1:9" x14ac:dyDescent="0.3">
      <c r="A170" t="s">
        <v>362</v>
      </c>
      <c r="B170">
        <v>10105</v>
      </c>
      <c r="C170" t="s">
        <v>363</v>
      </c>
      <c r="D170">
        <v>133990</v>
      </c>
      <c r="E170" s="2">
        <v>44952.799583333333</v>
      </c>
      <c r="F170" s="1" t="str">
        <f>+TEXT(meli[[#This Row],[date_created]],"HH:MM")</f>
        <v>19:11</v>
      </c>
      <c r="G170" t="s">
        <v>344</v>
      </c>
      <c r="H170" t="s">
        <v>345</v>
      </c>
      <c r="I170" t="s">
        <v>12</v>
      </c>
    </row>
    <row r="171" spans="1:9" x14ac:dyDescent="0.3">
      <c r="A171" t="s">
        <v>364</v>
      </c>
      <c r="B171">
        <v>9004</v>
      </c>
      <c r="C171" t="s">
        <v>365</v>
      </c>
      <c r="D171">
        <v>1329990</v>
      </c>
      <c r="E171" s="2">
        <v>44599.639675925922</v>
      </c>
      <c r="F171" s="1" t="str">
        <f>+TEXT(meli[[#This Row],[date_created]],"HH:MM")</f>
        <v>15:21</v>
      </c>
      <c r="G171" t="s">
        <v>344</v>
      </c>
      <c r="H171" t="s">
        <v>345</v>
      </c>
      <c r="I171" t="s">
        <v>12</v>
      </c>
    </row>
    <row r="172" spans="1:9" x14ac:dyDescent="0.3">
      <c r="A172" t="s">
        <v>366</v>
      </c>
      <c r="B172">
        <v>8551</v>
      </c>
      <c r="C172" t="s">
        <v>367</v>
      </c>
      <c r="D172">
        <v>679990</v>
      </c>
      <c r="E172" s="2">
        <v>45003.801122685189</v>
      </c>
      <c r="F172" s="1" t="str">
        <f>+TEXT(meli[[#This Row],[date_created]],"HH:MM")</f>
        <v>19:13</v>
      </c>
      <c r="G172" t="s">
        <v>344</v>
      </c>
      <c r="H172" t="s">
        <v>345</v>
      </c>
      <c r="I172" t="s">
        <v>12</v>
      </c>
    </row>
    <row r="173" spans="1:9" x14ac:dyDescent="0.3">
      <c r="A173" t="s">
        <v>368</v>
      </c>
      <c r="B173">
        <v>7967</v>
      </c>
      <c r="C173" t="s">
        <v>369</v>
      </c>
      <c r="D173">
        <v>1749990</v>
      </c>
      <c r="E173" s="2">
        <v>44956.349479166667</v>
      </c>
      <c r="F173" s="1" t="str">
        <f>+TEXT(meli[[#This Row],[date_created]],"HH:MM")</f>
        <v>08:23</v>
      </c>
      <c r="G173" t="s">
        <v>344</v>
      </c>
      <c r="H173" t="s">
        <v>345</v>
      </c>
      <c r="I173" t="s">
        <v>12</v>
      </c>
    </row>
    <row r="174" spans="1:9" x14ac:dyDescent="0.3">
      <c r="A174" t="s">
        <v>370</v>
      </c>
      <c r="B174">
        <v>7790</v>
      </c>
      <c r="C174" t="s">
        <v>371</v>
      </c>
      <c r="D174">
        <v>849990</v>
      </c>
      <c r="E174" s="2">
        <v>44886.793761574074</v>
      </c>
      <c r="F174" s="1" t="str">
        <f>+TEXT(meli[[#This Row],[date_created]],"HH:MM")</f>
        <v>19:03</v>
      </c>
      <c r="G174" t="s">
        <v>344</v>
      </c>
      <c r="H174" t="s">
        <v>345</v>
      </c>
      <c r="I174" t="s">
        <v>12</v>
      </c>
    </row>
    <row r="175" spans="1:9" x14ac:dyDescent="0.3">
      <c r="A175" t="s">
        <v>372</v>
      </c>
      <c r="B175">
        <v>7591</v>
      </c>
      <c r="C175" t="s">
        <v>373</v>
      </c>
      <c r="D175">
        <v>1069990</v>
      </c>
      <c r="E175" s="2">
        <v>45030.860474537039</v>
      </c>
      <c r="F175" s="1" t="str">
        <f>+TEXT(meli[[#This Row],[date_created]],"HH:MM")</f>
        <v>20:39</v>
      </c>
      <c r="G175" t="s">
        <v>344</v>
      </c>
      <c r="H175" t="s">
        <v>345</v>
      </c>
      <c r="I175" t="s">
        <v>12</v>
      </c>
    </row>
    <row r="176" spans="1:9" x14ac:dyDescent="0.3">
      <c r="A176" t="s">
        <v>374</v>
      </c>
      <c r="B176">
        <v>5500</v>
      </c>
      <c r="C176" t="s">
        <v>375</v>
      </c>
      <c r="D176">
        <v>196010</v>
      </c>
      <c r="E176" s="2">
        <v>44887.637314814812</v>
      </c>
      <c r="F176" s="1" t="str">
        <f>+TEXT(meli[[#This Row],[date_created]],"HH:MM")</f>
        <v>15:17</v>
      </c>
      <c r="G176" t="s">
        <v>344</v>
      </c>
      <c r="H176" t="s">
        <v>345</v>
      </c>
      <c r="I176" t="s">
        <v>21</v>
      </c>
    </row>
    <row r="177" spans="1:9" x14ac:dyDescent="0.3">
      <c r="A177" t="s">
        <v>376</v>
      </c>
      <c r="B177">
        <v>4973</v>
      </c>
      <c r="C177" t="s">
        <v>377</v>
      </c>
      <c r="D177">
        <v>1099990</v>
      </c>
      <c r="E177" s="2">
        <v>45001.728414351855</v>
      </c>
      <c r="F177" s="1" t="str">
        <f>+TEXT(meli[[#This Row],[date_created]],"HH:MM")</f>
        <v>17:28</v>
      </c>
      <c r="G177" t="s">
        <v>344</v>
      </c>
      <c r="H177" t="s">
        <v>345</v>
      </c>
      <c r="I177" t="s">
        <v>12</v>
      </c>
    </row>
    <row r="178" spans="1:9" x14ac:dyDescent="0.3">
      <c r="A178" t="s">
        <v>378</v>
      </c>
      <c r="B178">
        <v>4774</v>
      </c>
      <c r="C178" t="s">
        <v>379</v>
      </c>
      <c r="D178">
        <v>1329990</v>
      </c>
      <c r="E178" s="2">
        <v>44599.639675925922</v>
      </c>
      <c r="F178" s="1" t="str">
        <f>+TEXT(meli[[#This Row],[date_created]],"HH:MM")</f>
        <v>15:21</v>
      </c>
      <c r="G178" t="s">
        <v>344</v>
      </c>
      <c r="H178" t="s">
        <v>345</v>
      </c>
      <c r="I178" t="s">
        <v>12</v>
      </c>
    </row>
    <row r="179" spans="1:9" x14ac:dyDescent="0.3">
      <c r="A179" t="s">
        <v>380</v>
      </c>
      <c r="B179">
        <v>500</v>
      </c>
      <c r="C179" t="s">
        <v>381</v>
      </c>
      <c r="D179">
        <v>149990</v>
      </c>
      <c r="E179" s="2">
        <v>45117.796539351853</v>
      </c>
      <c r="F179" s="1" t="str">
        <f>+TEXT(meli[[#This Row],[date_created]],"HH:MM")</f>
        <v>19:07</v>
      </c>
      <c r="G179" t="s">
        <v>344</v>
      </c>
      <c r="H179" t="s">
        <v>345</v>
      </c>
      <c r="I179" t="s">
        <v>21</v>
      </c>
    </row>
    <row r="180" spans="1:9" x14ac:dyDescent="0.3">
      <c r="A180" t="s">
        <v>382</v>
      </c>
      <c r="B180">
        <v>644060</v>
      </c>
      <c r="C180" t="s">
        <v>383</v>
      </c>
      <c r="D180">
        <v>34930</v>
      </c>
      <c r="E180" s="2">
        <v>44140.433449074073</v>
      </c>
      <c r="F180" s="1" t="str">
        <f>+TEXT(meli[[#This Row],[date_created]],"HH:MM")</f>
        <v>10:24</v>
      </c>
      <c r="G180" t="s">
        <v>384</v>
      </c>
      <c r="H180" t="s">
        <v>385</v>
      </c>
      <c r="I180" t="s">
        <v>12</v>
      </c>
    </row>
    <row r="181" spans="1:9" x14ac:dyDescent="0.3">
      <c r="A181" t="s">
        <v>386</v>
      </c>
      <c r="B181">
        <v>265262</v>
      </c>
      <c r="C181" t="s">
        <v>387</v>
      </c>
      <c r="D181">
        <v>230490</v>
      </c>
      <c r="E181" s="2">
        <v>44344.627916666665</v>
      </c>
      <c r="F181" s="1" t="str">
        <f>+TEXT(meli[[#This Row],[date_created]],"HH:MM")</f>
        <v>15:04</v>
      </c>
      <c r="G181" t="s">
        <v>384</v>
      </c>
      <c r="H181" t="s">
        <v>385</v>
      </c>
      <c r="I181" t="s">
        <v>12</v>
      </c>
    </row>
    <row r="182" spans="1:9" x14ac:dyDescent="0.3">
      <c r="A182" t="s">
        <v>388</v>
      </c>
      <c r="B182">
        <v>259092</v>
      </c>
      <c r="C182" t="s">
        <v>389</v>
      </c>
      <c r="D182">
        <v>161840</v>
      </c>
      <c r="E182" s="2">
        <v>44656.44122685185</v>
      </c>
      <c r="F182" s="1" t="str">
        <f>+TEXT(meli[[#This Row],[date_created]],"HH:MM")</f>
        <v>10:35</v>
      </c>
      <c r="G182" t="s">
        <v>384</v>
      </c>
      <c r="H182" t="s">
        <v>385</v>
      </c>
      <c r="I182" t="s">
        <v>12</v>
      </c>
    </row>
    <row r="183" spans="1:9" x14ac:dyDescent="0.3">
      <c r="A183" t="s">
        <v>390</v>
      </c>
      <c r="B183">
        <v>107140</v>
      </c>
      <c r="C183" t="s">
        <v>391</v>
      </c>
      <c r="D183">
        <v>899990</v>
      </c>
      <c r="E183" s="2">
        <v>44231.724016203705</v>
      </c>
      <c r="F183" s="1" t="str">
        <f>+TEXT(meli[[#This Row],[date_created]],"HH:MM")</f>
        <v>17:22</v>
      </c>
      <c r="G183" t="s">
        <v>384</v>
      </c>
      <c r="H183" t="s">
        <v>385</v>
      </c>
      <c r="I183" t="s">
        <v>12</v>
      </c>
    </row>
    <row r="184" spans="1:9" x14ac:dyDescent="0.3">
      <c r="A184" t="s">
        <v>392</v>
      </c>
      <c r="B184">
        <v>95750</v>
      </c>
      <c r="C184" t="s">
        <v>393</v>
      </c>
      <c r="D184">
        <v>35230</v>
      </c>
      <c r="E184" s="2">
        <v>44860.703912037039</v>
      </c>
      <c r="F184" s="1" t="str">
        <f>+TEXT(meli[[#This Row],[date_created]],"HH:MM")</f>
        <v>16:53</v>
      </c>
      <c r="G184" t="s">
        <v>384</v>
      </c>
      <c r="H184" t="s">
        <v>385</v>
      </c>
      <c r="I184" t="s">
        <v>12</v>
      </c>
    </row>
    <row r="185" spans="1:9" x14ac:dyDescent="0.3">
      <c r="A185" t="s">
        <v>394</v>
      </c>
      <c r="B185">
        <v>89992</v>
      </c>
      <c r="C185" t="s">
        <v>395</v>
      </c>
      <c r="D185">
        <v>229990</v>
      </c>
      <c r="E185" s="2">
        <v>44511.680254629631</v>
      </c>
      <c r="F185" s="1" t="str">
        <f>+TEXT(meli[[#This Row],[date_created]],"HH:MM")</f>
        <v>16:19</v>
      </c>
      <c r="G185" t="s">
        <v>384</v>
      </c>
      <c r="H185" t="s">
        <v>385</v>
      </c>
      <c r="I185" t="s">
        <v>12</v>
      </c>
    </row>
    <row r="186" spans="1:9" x14ac:dyDescent="0.3">
      <c r="A186" t="s">
        <v>396</v>
      </c>
      <c r="B186">
        <v>78260</v>
      </c>
      <c r="C186" t="s">
        <v>397</v>
      </c>
      <c r="D186">
        <v>368600</v>
      </c>
      <c r="E186" s="2">
        <v>43416.73269675926</v>
      </c>
      <c r="F186" s="1" t="str">
        <f>+TEXT(meli[[#This Row],[date_created]],"HH:MM")</f>
        <v>17:35</v>
      </c>
      <c r="G186" t="s">
        <v>384</v>
      </c>
      <c r="H186" t="s">
        <v>385</v>
      </c>
      <c r="I186" t="s">
        <v>12</v>
      </c>
    </row>
    <row r="187" spans="1:9" x14ac:dyDescent="0.3">
      <c r="A187" t="s">
        <v>398</v>
      </c>
      <c r="B187">
        <v>50000</v>
      </c>
      <c r="C187" t="s">
        <v>399</v>
      </c>
      <c r="D187">
        <v>58990</v>
      </c>
      <c r="E187" s="2">
        <v>43140.852233796293</v>
      </c>
      <c r="F187" s="1" t="str">
        <f>+TEXT(meli[[#This Row],[date_created]],"HH:MM")</f>
        <v>20:27</v>
      </c>
      <c r="G187" t="s">
        <v>384</v>
      </c>
      <c r="H187" t="s">
        <v>385</v>
      </c>
      <c r="I187" t="s">
        <v>21</v>
      </c>
    </row>
    <row r="188" spans="1:9" x14ac:dyDescent="0.3">
      <c r="A188" t="s">
        <v>400</v>
      </c>
      <c r="B188">
        <v>42883</v>
      </c>
      <c r="C188" t="s">
        <v>401</v>
      </c>
      <c r="D188">
        <v>191990</v>
      </c>
      <c r="E188" s="2">
        <v>44495.412534722222</v>
      </c>
      <c r="F188" s="1" t="str">
        <f>+TEXT(meli[[#This Row],[date_created]],"HH:MM")</f>
        <v>09:54</v>
      </c>
      <c r="G188" t="s">
        <v>384</v>
      </c>
      <c r="H188" t="s">
        <v>385</v>
      </c>
      <c r="I188" t="s">
        <v>12</v>
      </c>
    </row>
    <row r="189" spans="1:9" x14ac:dyDescent="0.3">
      <c r="A189" t="s">
        <v>402</v>
      </c>
      <c r="B189">
        <v>20545</v>
      </c>
      <c r="C189" t="s">
        <v>403</v>
      </c>
      <c r="D189">
        <v>35820</v>
      </c>
      <c r="E189" s="2">
        <v>44894.776087962964</v>
      </c>
      <c r="F189" s="1" t="str">
        <f>+TEXT(meli[[#This Row],[date_created]],"HH:MM")</f>
        <v>18:37</v>
      </c>
      <c r="G189" t="s">
        <v>384</v>
      </c>
      <c r="H189" t="s">
        <v>385</v>
      </c>
      <c r="I189" t="s">
        <v>12</v>
      </c>
    </row>
    <row r="190" spans="1:9" x14ac:dyDescent="0.3">
      <c r="A190" t="s">
        <v>404</v>
      </c>
      <c r="B190">
        <v>10317</v>
      </c>
      <c r="C190" t="s">
        <v>405</v>
      </c>
      <c r="D190">
        <v>364430</v>
      </c>
      <c r="E190" s="2">
        <v>44877.04241898148</v>
      </c>
      <c r="F190" s="1" t="str">
        <f>+TEXT(meli[[#This Row],[date_created]],"HH:MM")</f>
        <v>01:01</v>
      </c>
      <c r="G190" t="s">
        <v>384</v>
      </c>
      <c r="H190" t="s">
        <v>385</v>
      </c>
      <c r="I190" t="s">
        <v>12</v>
      </c>
    </row>
    <row r="191" spans="1:9" x14ac:dyDescent="0.3">
      <c r="A191" t="s">
        <v>406</v>
      </c>
      <c r="B191">
        <v>7500</v>
      </c>
      <c r="C191" t="s">
        <v>407</v>
      </c>
      <c r="D191">
        <v>52170</v>
      </c>
      <c r="E191" s="2">
        <v>44714.684548611112</v>
      </c>
      <c r="F191" s="1" t="str">
        <f>+TEXT(meli[[#This Row],[date_created]],"HH:MM")</f>
        <v>16:25</v>
      </c>
      <c r="G191" t="s">
        <v>384</v>
      </c>
      <c r="H191" t="s">
        <v>385</v>
      </c>
      <c r="I191" t="s">
        <v>21</v>
      </c>
    </row>
    <row r="192" spans="1:9" x14ac:dyDescent="0.3">
      <c r="A192" t="s">
        <v>408</v>
      </c>
      <c r="B192">
        <v>6767</v>
      </c>
      <c r="C192" t="s">
        <v>409</v>
      </c>
      <c r="D192">
        <v>2322998</v>
      </c>
      <c r="E192" s="2">
        <v>44875.845810185187</v>
      </c>
      <c r="F192" s="1" t="str">
        <f>+TEXT(meli[[#This Row],[date_created]],"HH:MM")</f>
        <v>20:17</v>
      </c>
      <c r="G192" t="s">
        <v>384</v>
      </c>
      <c r="H192" t="s">
        <v>385</v>
      </c>
      <c r="I192" t="s">
        <v>12</v>
      </c>
    </row>
    <row r="193" spans="1:9" x14ac:dyDescent="0.3">
      <c r="A193" t="s">
        <v>410</v>
      </c>
      <c r="B193">
        <v>5970</v>
      </c>
      <c r="C193" t="s">
        <v>411</v>
      </c>
      <c r="D193">
        <v>158090</v>
      </c>
      <c r="E193" s="2">
        <v>44917.005439814813</v>
      </c>
      <c r="F193" s="1" t="str">
        <f>+TEXT(meli[[#This Row],[date_created]],"HH:MM")</f>
        <v>00:07</v>
      </c>
      <c r="G193" t="s">
        <v>384</v>
      </c>
      <c r="H193" t="s">
        <v>385</v>
      </c>
      <c r="I193" t="s">
        <v>12</v>
      </c>
    </row>
    <row r="194" spans="1:9" x14ac:dyDescent="0.3">
      <c r="A194" t="s">
        <v>412</v>
      </c>
      <c r="B194">
        <v>5000</v>
      </c>
      <c r="C194" t="s">
        <v>413</v>
      </c>
      <c r="D194">
        <v>117000</v>
      </c>
      <c r="E194" s="2">
        <v>42532.663032407407</v>
      </c>
      <c r="F194" s="1" t="str">
        <f>+TEXT(meli[[#This Row],[date_created]],"HH:MM")</f>
        <v>15:54</v>
      </c>
      <c r="G194" t="s">
        <v>384</v>
      </c>
      <c r="H194" t="s">
        <v>385</v>
      </c>
      <c r="I194" t="s">
        <v>21</v>
      </c>
    </row>
    <row r="195" spans="1:9" x14ac:dyDescent="0.3">
      <c r="A195" t="s">
        <v>414</v>
      </c>
      <c r="B195">
        <v>5000</v>
      </c>
      <c r="C195" t="s">
        <v>415</v>
      </c>
      <c r="D195">
        <v>116750</v>
      </c>
      <c r="E195" s="2">
        <v>42471.488888888889</v>
      </c>
      <c r="F195" s="1" t="str">
        <f>+TEXT(meli[[#This Row],[date_created]],"HH:MM")</f>
        <v>11:44</v>
      </c>
      <c r="G195" t="s">
        <v>384</v>
      </c>
      <c r="H195" t="s">
        <v>385</v>
      </c>
      <c r="I195" t="s">
        <v>21</v>
      </c>
    </row>
    <row r="196" spans="1:9" x14ac:dyDescent="0.3">
      <c r="A196" t="s">
        <v>416</v>
      </c>
      <c r="B196">
        <v>5000</v>
      </c>
      <c r="C196" t="s">
        <v>417</v>
      </c>
      <c r="D196">
        <v>56100</v>
      </c>
      <c r="E196" s="2">
        <v>42464.820497685185</v>
      </c>
      <c r="F196" s="1" t="str">
        <f>+TEXT(meli[[#This Row],[date_created]],"HH:MM")</f>
        <v>19:41</v>
      </c>
      <c r="G196" t="s">
        <v>384</v>
      </c>
      <c r="H196" t="s">
        <v>385</v>
      </c>
      <c r="I196" t="s">
        <v>21</v>
      </c>
    </row>
    <row r="197" spans="1:9" x14ac:dyDescent="0.3">
      <c r="A197" t="s">
        <v>418</v>
      </c>
      <c r="B197">
        <v>2150</v>
      </c>
      <c r="C197" t="s">
        <v>419</v>
      </c>
      <c r="D197">
        <v>47600</v>
      </c>
      <c r="E197" s="2">
        <v>44790.611689814818</v>
      </c>
      <c r="F197" s="1" t="str">
        <f>+TEXT(meli[[#This Row],[date_created]],"HH:MM")</f>
        <v>14:40</v>
      </c>
      <c r="G197" t="s">
        <v>384</v>
      </c>
      <c r="H197" t="s">
        <v>385</v>
      </c>
      <c r="I197" t="s">
        <v>21</v>
      </c>
    </row>
    <row r="198" spans="1:9" x14ac:dyDescent="0.3">
      <c r="A198" t="s">
        <v>420</v>
      </c>
      <c r="B198">
        <v>155144</v>
      </c>
      <c r="C198" t="s">
        <v>421</v>
      </c>
      <c r="D198">
        <v>69990</v>
      </c>
      <c r="E198" s="2">
        <v>43313.70275462963</v>
      </c>
      <c r="F198" s="1" t="str">
        <f>+TEXT(meli[[#This Row],[date_created]],"HH:MM")</f>
        <v>16:51</v>
      </c>
      <c r="G198" t="s">
        <v>422</v>
      </c>
      <c r="H198" t="s">
        <v>423</v>
      </c>
      <c r="I198" t="s">
        <v>12</v>
      </c>
    </row>
    <row r="199" spans="1:9" x14ac:dyDescent="0.3">
      <c r="A199" t="s">
        <v>424</v>
      </c>
      <c r="B199">
        <v>146240</v>
      </c>
      <c r="C199" t="s">
        <v>425</v>
      </c>
      <c r="D199">
        <v>34930</v>
      </c>
      <c r="E199" s="2">
        <v>44537.494293981479</v>
      </c>
      <c r="F199" s="1" t="str">
        <f>+TEXT(meli[[#This Row],[date_created]],"HH:MM")</f>
        <v>11:51</v>
      </c>
      <c r="G199" t="s">
        <v>422</v>
      </c>
      <c r="H199" t="s">
        <v>423</v>
      </c>
      <c r="I199" t="s">
        <v>12</v>
      </c>
    </row>
    <row r="200" spans="1:9" x14ac:dyDescent="0.3">
      <c r="A200" t="s">
        <v>426</v>
      </c>
      <c r="B200">
        <v>103176</v>
      </c>
      <c r="C200" t="s">
        <v>427</v>
      </c>
      <c r="D200">
        <v>9200</v>
      </c>
      <c r="E200" s="2">
        <v>42758.605196759258</v>
      </c>
      <c r="F200" s="1" t="str">
        <f>+TEXT(meli[[#This Row],[date_created]],"HH:MM")</f>
        <v>14:31</v>
      </c>
      <c r="G200" t="s">
        <v>422</v>
      </c>
      <c r="H200" t="s">
        <v>423</v>
      </c>
      <c r="I200" t="s">
        <v>12</v>
      </c>
    </row>
    <row r="201" spans="1:9" x14ac:dyDescent="0.3">
      <c r="A201" t="s">
        <v>428</v>
      </c>
      <c r="B201">
        <v>101488</v>
      </c>
      <c r="C201" t="s">
        <v>429</v>
      </c>
      <c r="D201">
        <v>80000</v>
      </c>
      <c r="E201" s="2">
        <v>43244.702893518515</v>
      </c>
      <c r="F201" s="1" t="str">
        <f>+TEXT(meli[[#This Row],[date_created]],"HH:MM")</f>
        <v>16:52</v>
      </c>
      <c r="G201" t="s">
        <v>422</v>
      </c>
      <c r="H201" t="s">
        <v>423</v>
      </c>
      <c r="I201" t="s">
        <v>12</v>
      </c>
    </row>
    <row r="202" spans="1:9" x14ac:dyDescent="0.3">
      <c r="A202" t="s">
        <v>430</v>
      </c>
      <c r="B202">
        <v>71218</v>
      </c>
      <c r="C202" t="s">
        <v>431</v>
      </c>
      <c r="D202">
        <v>9950</v>
      </c>
      <c r="E202" s="2">
        <v>42758.605173611111</v>
      </c>
      <c r="F202" s="1" t="str">
        <f>+TEXT(meli[[#This Row],[date_created]],"HH:MM")</f>
        <v>14:31</v>
      </c>
      <c r="G202" t="s">
        <v>422</v>
      </c>
      <c r="H202" t="s">
        <v>423</v>
      </c>
      <c r="I202" t="s">
        <v>12</v>
      </c>
    </row>
    <row r="203" spans="1:9" x14ac:dyDescent="0.3">
      <c r="A203" t="s">
        <v>432</v>
      </c>
      <c r="B203">
        <v>32594</v>
      </c>
      <c r="C203" t="s">
        <v>433</v>
      </c>
      <c r="D203">
        <v>80000</v>
      </c>
      <c r="E203" s="2">
        <v>43244.702893518515</v>
      </c>
      <c r="F203" s="1" t="str">
        <f>+TEXT(meli[[#This Row],[date_created]],"HH:MM")</f>
        <v>16:52</v>
      </c>
      <c r="G203" t="s">
        <v>422</v>
      </c>
      <c r="H203" t="s">
        <v>423</v>
      </c>
      <c r="I203" t="s">
        <v>12</v>
      </c>
    </row>
    <row r="204" spans="1:9" x14ac:dyDescent="0.3">
      <c r="A204" t="s">
        <v>434</v>
      </c>
      <c r="B204">
        <v>22168</v>
      </c>
      <c r="C204" t="s">
        <v>435</v>
      </c>
      <c r="D204">
        <v>84570</v>
      </c>
      <c r="E204" s="2">
        <v>43665.469155092593</v>
      </c>
      <c r="F204" s="1" t="str">
        <f>+TEXT(meli[[#This Row],[date_created]],"HH:MM")</f>
        <v>11:15</v>
      </c>
      <c r="G204" t="s">
        <v>422</v>
      </c>
      <c r="H204" t="s">
        <v>423</v>
      </c>
      <c r="I204" t="s">
        <v>12</v>
      </c>
    </row>
    <row r="205" spans="1:9" x14ac:dyDescent="0.3">
      <c r="A205" t="s">
        <v>436</v>
      </c>
      <c r="B205">
        <v>21676</v>
      </c>
      <c r="C205" t="s">
        <v>437</v>
      </c>
      <c r="D205">
        <v>85030</v>
      </c>
      <c r="E205" s="2">
        <v>43313.702743055554</v>
      </c>
      <c r="F205" s="1" t="str">
        <f>+TEXT(meli[[#This Row],[date_created]],"HH:MM")</f>
        <v>16:51</v>
      </c>
      <c r="G205" t="s">
        <v>422</v>
      </c>
      <c r="H205" t="s">
        <v>423</v>
      </c>
      <c r="I205" t="s">
        <v>12</v>
      </c>
    </row>
    <row r="206" spans="1:9" x14ac:dyDescent="0.3">
      <c r="A206" t="s">
        <v>438</v>
      </c>
      <c r="B206">
        <v>19009</v>
      </c>
      <c r="C206" t="s">
        <v>439</v>
      </c>
      <c r="D206">
        <v>295200</v>
      </c>
      <c r="E206" s="2">
        <v>44791.924224537041</v>
      </c>
      <c r="F206" s="1" t="str">
        <f>+TEXT(meli[[#This Row],[date_created]],"HH:MM")</f>
        <v>22:10</v>
      </c>
      <c r="G206" t="s">
        <v>422</v>
      </c>
      <c r="H206" t="s">
        <v>423</v>
      </c>
      <c r="I206" t="s">
        <v>12</v>
      </c>
    </row>
    <row r="207" spans="1:9" x14ac:dyDescent="0.3">
      <c r="A207" t="s">
        <v>440</v>
      </c>
      <c r="B207">
        <v>15032</v>
      </c>
      <c r="C207" t="s">
        <v>441</v>
      </c>
      <c r="D207">
        <v>635590</v>
      </c>
      <c r="E207" s="2">
        <v>44155.472361111111</v>
      </c>
      <c r="F207" s="1" t="str">
        <f>+TEXT(meli[[#This Row],[date_created]],"HH:MM")</f>
        <v>11:20</v>
      </c>
      <c r="G207" t="s">
        <v>422</v>
      </c>
      <c r="H207" t="s">
        <v>423</v>
      </c>
      <c r="I207" t="s">
        <v>12</v>
      </c>
    </row>
    <row r="208" spans="1:9" x14ac:dyDescent="0.3">
      <c r="A208" t="s">
        <v>442</v>
      </c>
      <c r="B208">
        <v>12740</v>
      </c>
      <c r="C208" t="s">
        <v>443</v>
      </c>
      <c r="D208">
        <v>690000</v>
      </c>
      <c r="E208" s="2">
        <v>44347.515798611108</v>
      </c>
      <c r="F208" s="1" t="str">
        <f>+TEXT(meli[[#This Row],[date_created]],"HH:MM")</f>
        <v>12:22</v>
      </c>
      <c r="G208" t="s">
        <v>422</v>
      </c>
      <c r="H208" t="s">
        <v>423</v>
      </c>
      <c r="I208" t="s">
        <v>12</v>
      </c>
    </row>
    <row r="209" spans="1:9" x14ac:dyDescent="0.3">
      <c r="A209" t="s">
        <v>444</v>
      </c>
      <c r="B209">
        <v>10738</v>
      </c>
      <c r="C209" t="s">
        <v>445</v>
      </c>
      <c r="D209">
        <v>99840</v>
      </c>
      <c r="E209" s="2">
        <v>44791.92423611111</v>
      </c>
      <c r="F209" s="1" t="str">
        <f>+TEXT(meli[[#This Row],[date_created]],"HH:MM")</f>
        <v>22:10</v>
      </c>
      <c r="G209" t="s">
        <v>422</v>
      </c>
      <c r="H209" t="s">
        <v>423</v>
      </c>
      <c r="I209" t="s">
        <v>12</v>
      </c>
    </row>
    <row r="210" spans="1:9" x14ac:dyDescent="0.3">
      <c r="A210" t="s">
        <v>446</v>
      </c>
      <c r="B210">
        <v>10546</v>
      </c>
      <c r="C210" t="s">
        <v>447</v>
      </c>
      <c r="D210">
        <v>639990</v>
      </c>
      <c r="E210" s="2">
        <v>44347.515798611108</v>
      </c>
      <c r="F210" s="1" t="str">
        <f>+TEXT(meli[[#This Row],[date_created]],"HH:MM")</f>
        <v>12:22</v>
      </c>
      <c r="G210" t="s">
        <v>422</v>
      </c>
      <c r="H210" t="s">
        <v>423</v>
      </c>
      <c r="I210" t="s">
        <v>12</v>
      </c>
    </row>
    <row r="211" spans="1:9" x14ac:dyDescent="0.3">
      <c r="A211" t="s">
        <v>448</v>
      </c>
      <c r="B211">
        <v>7891</v>
      </c>
      <c r="C211" t="s">
        <v>449</v>
      </c>
      <c r="D211">
        <v>231800</v>
      </c>
      <c r="E211" s="2">
        <v>45035.748784722222</v>
      </c>
      <c r="F211" s="1" t="str">
        <f>+TEXT(meli[[#This Row],[date_created]],"HH:MM")</f>
        <v>17:58</v>
      </c>
      <c r="G211" t="s">
        <v>422</v>
      </c>
      <c r="H211" t="s">
        <v>423</v>
      </c>
      <c r="I211" t="s">
        <v>12</v>
      </c>
    </row>
    <row r="212" spans="1:9" x14ac:dyDescent="0.3">
      <c r="A212" t="s">
        <v>450</v>
      </c>
      <c r="B212">
        <v>7552</v>
      </c>
      <c r="C212" t="s">
        <v>451</v>
      </c>
      <c r="D212">
        <v>79990</v>
      </c>
      <c r="E212" s="2">
        <v>43790.67627314815</v>
      </c>
      <c r="F212" s="1" t="str">
        <f>+TEXT(meli[[#This Row],[date_created]],"HH:MM")</f>
        <v>16:13</v>
      </c>
      <c r="G212" t="s">
        <v>422</v>
      </c>
      <c r="H212" t="s">
        <v>423</v>
      </c>
      <c r="I212" t="s">
        <v>12</v>
      </c>
    </row>
    <row r="213" spans="1:9" x14ac:dyDescent="0.3">
      <c r="A213" t="s">
        <v>452</v>
      </c>
      <c r="B213">
        <v>6932</v>
      </c>
      <c r="C213" t="s">
        <v>453</v>
      </c>
      <c r="D213">
        <v>159000</v>
      </c>
      <c r="E213" s="2">
        <v>44943.725034722222</v>
      </c>
      <c r="F213" s="1" t="str">
        <f>+TEXT(meli[[#This Row],[date_created]],"HH:MM")</f>
        <v>17:24</v>
      </c>
      <c r="G213" t="s">
        <v>422</v>
      </c>
      <c r="H213" t="s">
        <v>423</v>
      </c>
      <c r="I213" t="s">
        <v>12</v>
      </c>
    </row>
    <row r="214" spans="1:9" x14ac:dyDescent="0.3">
      <c r="A214" t="s">
        <v>454</v>
      </c>
      <c r="B214">
        <v>6500</v>
      </c>
      <c r="C214" t="s">
        <v>455</v>
      </c>
      <c r="D214">
        <v>175087</v>
      </c>
      <c r="E214" s="2">
        <v>44112.692986111113</v>
      </c>
      <c r="F214" s="1" t="str">
        <f>+TEXT(meli[[#This Row],[date_created]],"HH:MM")</f>
        <v>16:37</v>
      </c>
      <c r="G214" t="s">
        <v>422</v>
      </c>
      <c r="H214" t="s">
        <v>423</v>
      </c>
      <c r="I214" t="s">
        <v>21</v>
      </c>
    </row>
    <row r="215" spans="1:9" x14ac:dyDescent="0.3">
      <c r="A215" t="s">
        <v>456</v>
      </c>
      <c r="B215">
        <v>5519</v>
      </c>
      <c r="C215" t="s">
        <v>457</v>
      </c>
      <c r="D215">
        <v>208000</v>
      </c>
      <c r="E215" s="2">
        <v>44963.087777777779</v>
      </c>
      <c r="F215" s="1" t="str">
        <f>+TEXT(meli[[#This Row],[date_created]],"HH:MM")</f>
        <v>02:06</v>
      </c>
      <c r="G215" t="s">
        <v>422</v>
      </c>
      <c r="H215" t="s">
        <v>423</v>
      </c>
      <c r="I215" t="s">
        <v>12</v>
      </c>
    </row>
    <row r="216" spans="1:9" x14ac:dyDescent="0.3">
      <c r="A216" t="s">
        <v>458</v>
      </c>
      <c r="B216">
        <v>5000</v>
      </c>
      <c r="C216" t="s">
        <v>459</v>
      </c>
      <c r="D216">
        <v>23180</v>
      </c>
      <c r="E216" s="2">
        <v>44085.741550925923</v>
      </c>
      <c r="F216" s="1" t="str">
        <f>+TEXT(meli[[#This Row],[date_created]],"HH:MM")</f>
        <v>17:47</v>
      </c>
      <c r="G216" t="s">
        <v>422</v>
      </c>
      <c r="H216" t="s">
        <v>423</v>
      </c>
      <c r="I216" t="s">
        <v>21</v>
      </c>
    </row>
    <row r="217" spans="1:9" x14ac:dyDescent="0.3">
      <c r="A217" t="s">
        <v>460</v>
      </c>
      <c r="B217">
        <v>1181</v>
      </c>
      <c r="C217" t="s">
        <v>461</v>
      </c>
      <c r="D217">
        <v>169990</v>
      </c>
      <c r="E217" s="2">
        <v>44995.995439814818</v>
      </c>
      <c r="F217" s="1" t="str">
        <f>+TEXT(meli[[#This Row],[date_created]],"HH:MM")</f>
        <v>23:53</v>
      </c>
      <c r="G217" t="s">
        <v>422</v>
      </c>
      <c r="H217" t="s">
        <v>423</v>
      </c>
      <c r="I217" t="s">
        <v>12</v>
      </c>
    </row>
    <row r="218" spans="1:9" x14ac:dyDescent="0.3">
      <c r="A218" t="s">
        <v>462</v>
      </c>
      <c r="B218">
        <v>71768</v>
      </c>
      <c r="C218" t="s">
        <v>463</v>
      </c>
      <c r="D218">
        <v>2999289</v>
      </c>
      <c r="E218" s="2">
        <v>44846.64434027778</v>
      </c>
      <c r="F218" s="1" t="str">
        <f>+TEXT(meli[[#This Row],[date_created]],"HH:MM")</f>
        <v>15:27</v>
      </c>
      <c r="G218" t="s">
        <v>464</v>
      </c>
      <c r="H218" t="s">
        <v>465</v>
      </c>
      <c r="I218" t="s">
        <v>12</v>
      </c>
    </row>
    <row r="219" spans="1:9" x14ac:dyDescent="0.3">
      <c r="A219" t="s">
        <v>466</v>
      </c>
      <c r="B219">
        <v>64276</v>
      </c>
      <c r="C219" t="s">
        <v>467</v>
      </c>
      <c r="D219">
        <v>99990</v>
      </c>
      <c r="E219" s="2">
        <v>45075.190821759257</v>
      </c>
      <c r="F219" s="1" t="str">
        <f>+TEXT(meli[[#This Row],[date_created]],"HH:MM")</f>
        <v>04:34</v>
      </c>
      <c r="G219" t="s">
        <v>464</v>
      </c>
      <c r="H219" t="s">
        <v>465</v>
      </c>
      <c r="I219" t="s">
        <v>12</v>
      </c>
    </row>
    <row r="220" spans="1:9" x14ac:dyDescent="0.3">
      <c r="A220" t="s">
        <v>468</v>
      </c>
      <c r="B220">
        <v>56942</v>
      </c>
      <c r="C220" t="s">
        <v>469</v>
      </c>
      <c r="D220">
        <v>131990</v>
      </c>
      <c r="E220" s="2">
        <v>45052.645879629628</v>
      </c>
      <c r="F220" s="1" t="str">
        <f>+TEXT(meli[[#This Row],[date_created]],"HH:MM")</f>
        <v>15:30</v>
      </c>
      <c r="G220" t="s">
        <v>464</v>
      </c>
      <c r="H220" t="s">
        <v>465</v>
      </c>
      <c r="I220" t="s">
        <v>12</v>
      </c>
    </row>
    <row r="221" spans="1:9" x14ac:dyDescent="0.3">
      <c r="A221" t="s">
        <v>470</v>
      </c>
      <c r="B221">
        <v>55752</v>
      </c>
      <c r="C221" t="s">
        <v>471</v>
      </c>
      <c r="D221">
        <v>235000</v>
      </c>
      <c r="E221" s="2">
        <v>43027.470983796295</v>
      </c>
      <c r="F221" s="1" t="str">
        <f>+TEXT(meli[[#This Row],[date_created]],"HH:MM")</f>
        <v>11:18</v>
      </c>
      <c r="G221" t="s">
        <v>464</v>
      </c>
      <c r="H221" t="s">
        <v>465</v>
      </c>
      <c r="I221" t="s">
        <v>12</v>
      </c>
    </row>
    <row r="222" spans="1:9" x14ac:dyDescent="0.3">
      <c r="A222" t="s">
        <v>472</v>
      </c>
      <c r="B222">
        <v>54820</v>
      </c>
      <c r="C222" t="s">
        <v>473</v>
      </c>
      <c r="D222">
        <v>997405</v>
      </c>
      <c r="E222" s="2">
        <v>45074.886770833335</v>
      </c>
      <c r="F222" s="1" t="str">
        <f>+TEXT(meli[[#This Row],[date_created]],"HH:MM")</f>
        <v>21:16</v>
      </c>
      <c r="G222" t="s">
        <v>464</v>
      </c>
      <c r="H222" t="s">
        <v>465</v>
      </c>
      <c r="I222" t="s">
        <v>12</v>
      </c>
    </row>
    <row r="223" spans="1:9" x14ac:dyDescent="0.3">
      <c r="A223" t="s">
        <v>474</v>
      </c>
      <c r="B223">
        <v>53104</v>
      </c>
      <c r="C223" t="s">
        <v>475</v>
      </c>
      <c r="D223">
        <v>220000</v>
      </c>
      <c r="E223" s="2">
        <v>43511.746134259258</v>
      </c>
      <c r="F223" s="1" t="str">
        <f>+TEXT(meli[[#This Row],[date_created]],"HH:MM")</f>
        <v>17:54</v>
      </c>
      <c r="G223" t="s">
        <v>464</v>
      </c>
      <c r="H223" t="s">
        <v>465</v>
      </c>
      <c r="I223" t="s">
        <v>12</v>
      </c>
    </row>
    <row r="224" spans="1:9" x14ac:dyDescent="0.3">
      <c r="A224" t="s">
        <v>476</v>
      </c>
      <c r="B224">
        <v>46410</v>
      </c>
      <c r="C224" t="s">
        <v>477</v>
      </c>
      <c r="D224">
        <v>322250</v>
      </c>
      <c r="E224" s="2">
        <v>42996.554513888892</v>
      </c>
      <c r="F224" s="1" t="str">
        <f>+TEXT(meli[[#This Row],[date_created]],"HH:MM")</f>
        <v>13:18</v>
      </c>
      <c r="G224" t="s">
        <v>464</v>
      </c>
      <c r="H224" t="s">
        <v>465</v>
      </c>
      <c r="I224" t="s">
        <v>12</v>
      </c>
    </row>
    <row r="225" spans="1:9" x14ac:dyDescent="0.3">
      <c r="A225" t="s">
        <v>478</v>
      </c>
      <c r="B225">
        <v>41164</v>
      </c>
      <c r="C225" t="s">
        <v>479</v>
      </c>
      <c r="D225">
        <v>2999289</v>
      </c>
      <c r="E225" s="2">
        <v>44762.793402777781</v>
      </c>
      <c r="F225" s="1" t="str">
        <f>+TEXT(meli[[#This Row],[date_created]],"HH:MM")</f>
        <v>19:02</v>
      </c>
      <c r="G225" t="s">
        <v>464</v>
      </c>
      <c r="H225" t="s">
        <v>465</v>
      </c>
      <c r="I225" t="s">
        <v>12</v>
      </c>
    </row>
    <row r="226" spans="1:9" x14ac:dyDescent="0.3">
      <c r="A226" t="s">
        <v>480</v>
      </c>
      <c r="B226">
        <v>35540</v>
      </c>
      <c r="C226" t="s">
        <v>481</v>
      </c>
      <c r="D226">
        <v>79990</v>
      </c>
      <c r="E226" s="2">
        <v>44523.594178240739</v>
      </c>
      <c r="F226" s="1" t="str">
        <f>+TEXT(meli[[#This Row],[date_created]],"HH:MM")</f>
        <v>14:15</v>
      </c>
      <c r="G226" t="s">
        <v>464</v>
      </c>
      <c r="H226" t="s">
        <v>465</v>
      </c>
      <c r="I226" t="s">
        <v>12</v>
      </c>
    </row>
    <row r="227" spans="1:9" x14ac:dyDescent="0.3">
      <c r="A227" t="s">
        <v>482</v>
      </c>
      <c r="B227">
        <v>20794</v>
      </c>
      <c r="C227" t="s">
        <v>483</v>
      </c>
      <c r="D227">
        <v>3597793</v>
      </c>
      <c r="E227" s="2">
        <v>44845.711898148147</v>
      </c>
      <c r="F227" s="1" t="str">
        <f>+TEXT(meli[[#This Row],[date_created]],"HH:MM")</f>
        <v>17:05</v>
      </c>
      <c r="G227" t="s">
        <v>464</v>
      </c>
      <c r="H227" t="s">
        <v>465</v>
      </c>
      <c r="I227" t="s">
        <v>12</v>
      </c>
    </row>
    <row r="228" spans="1:9" x14ac:dyDescent="0.3">
      <c r="A228" t="s">
        <v>484</v>
      </c>
      <c r="B228">
        <v>19138</v>
      </c>
      <c r="C228" t="s">
        <v>485</v>
      </c>
      <c r="D228">
        <v>174990</v>
      </c>
      <c r="E228" s="2">
        <v>44523.594178240739</v>
      </c>
      <c r="F228" s="1" t="str">
        <f>+TEXT(meli[[#This Row],[date_created]],"HH:MM")</f>
        <v>14:15</v>
      </c>
      <c r="G228" t="s">
        <v>464</v>
      </c>
      <c r="H228" t="s">
        <v>465</v>
      </c>
      <c r="I228" t="s">
        <v>12</v>
      </c>
    </row>
    <row r="229" spans="1:9" x14ac:dyDescent="0.3">
      <c r="A229" t="s">
        <v>486</v>
      </c>
      <c r="B229">
        <v>6724</v>
      </c>
      <c r="C229" t="s">
        <v>487</v>
      </c>
      <c r="D229">
        <v>27300</v>
      </c>
      <c r="E229" s="2">
        <v>44955.353495370371</v>
      </c>
      <c r="F229" s="1" t="str">
        <f>+TEXT(meli[[#This Row],[date_created]],"HH:MM")</f>
        <v>08:29</v>
      </c>
      <c r="G229" t="s">
        <v>464</v>
      </c>
      <c r="H229" t="s">
        <v>465</v>
      </c>
      <c r="I229" t="s">
        <v>12</v>
      </c>
    </row>
    <row r="230" spans="1:9" x14ac:dyDescent="0.3">
      <c r="A230" t="s">
        <v>488</v>
      </c>
      <c r="B230">
        <v>5000</v>
      </c>
      <c r="C230" t="s">
        <v>489</v>
      </c>
      <c r="D230">
        <v>593384</v>
      </c>
      <c r="E230" s="2">
        <v>44272.5231712963</v>
      </c>
      <c r="F230" s="1" t="str">
        <f>+TEXT(meli[[#This Row],[date_created]],"HH:MM")</f>
        <v>12:33</v>
      </c>
      <c r="G230" t="s">
        <v>464</v>
      </c>
      <c r="H230" t="s">
        <v>465</v>
      </c>
      <c r="I230" t="s">
        <v>21</v>
      </c>
    </row>
    <row r="231" spans="1:9" x14ac:dyDescent="0.3">
      <c r="A231" t="s">
        <v>490</v>
      </c>
      <c r="B231">
        <v>5000</v>
      </c>
      <c r="C231" t="s">
        <v>491</v>
      </c>
      <c r="D231">
        <v>417000</v>
      </c>
      <c r="E231" s="2">
        <v>44321.750648148147</v>
      </c>
      <c r="F231" s="1" t="str">
        <f>+TEXT(meli[[#This Row],[date_created]],"HH:MM")</f>
        <v>18:00</v>
      </c>
      <c r="G231" t="s">
        <v>464</v>
      </c>
      <c r="H231" t="s">
        <v>465</v>
      </c>
      <c r="I231" t="s">
        <v>21</v>
      </c>
    </row>
    <row r="232" spans="1:9" x14ac:dyDescent="0.3">
      <c r="A232" t="s">
        <v>492</v>
      </c>
      <c r="B232">
        <v>5000</v>
      </c>
      <c r="C232" t="s">
        <v>493</v>
      </c>
      <c r="D232">
        <v>31491</v>
      </c>
      <c r="E232" s="2">
        <v>43906.649710648147</v>
      </c>
      <c r="F232" s="1" t="str">
        <f>+TEXT(meli[[#This Row],[date_created]],"HH:MM")</f>
        <v>15:35</v>
      </c>
      <c r="G232" t="s">
        <v>464</v>
      </c>
      <c r="H232" t="s">
        <v>465</v>
      </c>
      <c r="I232" t="s">
        <v>21</v>
      </c>
    </row>
    <row r="233" spans="1:9" x14ac:dyDescent="0.3">
      <c r="A233" t="s">
        <v>494</v>
      </c>
      <c r="B233">
        <v>5000</v>
      </c>
      <c r="C233" t="s">
        <v>495</v>
      </c>
      <c r="D233">
        <v>254000</v>
      </c>
      <c r="E233" s="2">
        <v>42447.822546296295</v>
      </c>
      <c r="F233" s="1" t="str">
        <f>+TEXT(meli[[#This Row],[date_created]],"HH:MM")</f>
        <v>19:44</v>
      </c>
      <c r="G233" t="s">
        <v>464</v>
      </c>
      <c r="H233" t="s">
        <v>465</v>
      </c>
      <c r="I233" t="s">
        <v>21</v>
      </c>
    </row>
    <row r="234" spans="1:9" x14ac:dyDescent="0.3">
      <c r="A234" t="s">
        <v>496</v>
      </c>
      <c r="B234">
        <v>4648</v>
      </c>
      <c r="C234" t="s">
        <v>497</v>
      </c>
      <c r="D234">
        <v>182220</v>
      </c>
      <c r="E234" s="2">
        <v>44902.451157407406</v>
      </c>
      <c r="F234" s="1" t="str">
        <f>+TEXT(meli[[#This Row],[date_created]],"HH:MM")</f>
        <v>10:49</v>
      </c>
      <c r="G234" t="s">
        <v>464</v>
      </c>
      <c r="H234" t="s">
        <v>465</v>
      </c>
      <c r="I234" t="s">
        <v>12</v>
      </c>
    </row>
    <row r="235" spans="1:9" x14ac:dyDescent="0.3">
      <c r="A235" t="s">
        <v>498</v>
      </c>
      <c r="B235">
        <v>4400</v>
      </c>
      <c r="C235" t="s">
        <v>499</v>
      </c>
      <c r="D235">
        <v>14140</v>
      </c>
      <c r="E235" s="2">
        <v>44012.598703703705</v>
      </c>
      <c r="F235" s="1" t="str">
        <f>+TEXT(meli[[#This Row],[date_created]],"HH:MM")</f>
        <v>14:22</v>
      </c>
      <c r="G235" t="s">
        <v>464</v>
      </c>
      <c r="H235" t="s">
        <v>465</v>
      </c>
      <c r="I235" t="s">
        <v>21</v>
      </c>
    </row>
    <row r="236" spans="1:9" x14ac:dyDescent="0.3">
      <c r="A236" t="s">
        <v>500</v>
      </c>
      <c r="B236">
        <v>3206</v>
      </c>
      <c r="C236" t="s">
        <v>501</v>
      </c>
      <c r="D236">
        <v>179900</v>
      </c>
      <c r="E236" s="2">
        <v>45031.609513888892</v>
      </c>
      <c r="F236" s="1" t="str">
        <f>+TEXT(meli[[#This Row],[date_created]],"HH:MM")</f>
        <v>14:37</v>
      </c>
      <c r="G236" t="s">
        <v>464</v>
      </c>
      <c r="H236" t="s">
        <v>465</v>
      </c>
      <c r="I236" t="s">
        <v>12</v>
      </c>
    </row>
    <row r="237" spans="1:9" x14ac:dyDescent="0.3">
      <c r="A237" t="s">
        <v>502</v>
      </c>
      <c r="B237">
        <v>500</v>
      </c>
      <c r="C237" t="s">
        <v>503</v>
      </c>
      <c r="D237">
        <v>48450</v>
      </c>
      <c r="E237" s="2">
        <v>44873.649074074077</v>
      </c>
      <c r="F237" s="1" t="str">
        <f>+TEXT(meli[[#This Row],[date_created]],"HH:MM")</f>
        <v>15:34</v>
      </c>
      <c r="G237" t="s">
        <v>464</v>
      </c>
      <c r="H237" t="s">
        <v>465</v>
      </c>
      <c r="I237" t="s">
        <v>21</v>
      </c>
    </row>
    <row r="238" spans="1:9" x14ac:dyDescent="0.3">
      <c r="A238" t="s">
        <v>504</v>
      </c>
      <c r="B238">
        <v>121198</v>
      </c>
      <c r="C238" t="s">
        <v>505</v>
      </c>
      <c r="D238">
        <v>386499</v>
      </c>
      <c r="E238" s="2">
        <v>43951.645405092589</v>
      </c>
      <c r="F238" s="1" t="str">
        <f>+TEXT(meli[[#This Row],[date_created]],"HH:MM")</f>
        <v>15:29</v>
      </c>
      <c r="G238" t="s">
        <v>506</v>
      </c>
      <c r="H238" t="s">
        <v>507</v>
      </c>
      <c r="I238" t="s">
        <v>12</v>
      </c>
    </row>
    <row r="239" spans="1:9" x14ac:dyDescent="0.3">
      <c r="A239" t="s">
        <v>508</v>
      </c>
      <c r="B239">
        <v>49118</v>
      </c>
      <c r="C239" t="s">
        <v>509</v>
      </c>
      <c r="D239">
        <v>1099990</v>
      </c>
      <c r="E239" s="2">
        <v>43780.685868055552</v>
      </c>
      <c r="F239" s="1" t="str">
        <f>+TEXT(meli[[#This Row],[date_created]],"HH:MM")</f>
        <v>16:27</v>
      </c>
      <c r="G239" t="s">
        <v>506</v>
      </c>
      <c r="H239" t="s">
        <v>507</v>
      </c>
      <c r="I239" t="s">
        <v>12</v>
      </c>
    </row>
    <row r="240" spans="1:9" x14ac:dyDescent="0.3">
      <c r="A240" t="s">
        <v>510</v>
      </c>
      <c r="B240">
        <v>40248</v>
      </c>
      <c r="C240" t="s">
        <v>511</v>
      </c>
      <c r="D240">
        <v>38710</v>
      </c>
      <c r="E240" s="2">
        <v>43735.750868055555</v>
      </c>
      <c r="F240" s="1" t="str">
        <f>+TEXT(meli[[#This Row],[date_created]],"HH:MM")</f>
        <v>18:01</v>
      </c>
      <c r="G240" t="s">
        <v>506</v>
      </c>
      <c r="H240" t="s">
        <v>507</v>
      </c>
      <c r="I240" t="s">
        <v>12</v>
      </c>
    </row>
    <row r="241" spans="1:9" x14ac:dyDescent="0.3">
      <c r="A241" t="s">
        <v>512</v>
      </c>
      <c r="B241">
        <v>40036</v>
      </c>
      <c r="C241" t="s">
        <v>513</v>
      </c>
      <c r="D241">
        <v>48500</v>
      </c>
      <c r="E241" s="2">
        <v>43117.396874999999</v>
      </c>
      <c r="F241" s="1" t="str">
        <f>+TEXT(meli[[#This Row],[date_created]],"HH:MM")</f>
        <v>09:31</v>
      </c>
      <c r="G241" t="s">
        <v>506</v>
      </c>
      <c r="H241" t="s">
        <v>507</v>
      </c>
      <c r="I241" t="s">
        <v>12</v>
      </c>
    </row>
    <row r="242" spans="1:9" x14ac:dyDescent="0.3">
      <c r="A242" t="s">
        <v>514</v>
      </c>
      <c r="B242">
        <v>14547</v>
      </c>
      <c r="C242" t="s">
        <v>515</v>
      </c>
      <c r="D242">
        <v>154260</v>
      </c>
      <c r="E242" s="2">
        <v>43371.734606481485</v>
      </c>
      <c r="F242" s="1" t="str">
        <f>+TEXT(meli[[#This Row],[date_created]],"HH:MM")</f>
        <v>17:37</v>
      </c>
      <c r="G242" t="s">
        <v>506</v>
      </c>
      <c r="H242" t="s">
        <v>507</v>
      </c>
      <c r="I242" t="s">
        <v>12</v>
      </c>
    </row>
    <row r="243" spans="1:9" x14ac:dyDescent="0.3">
      <c r="A243" t="s">
        <v>516</v>
      </c>
      <c r="B243">
        <v>9843</v>
      </c>
      <c r="C243" t="s">
        <v>517</v>
      </c>
      <c r="D243">
        <v>249990</v>
      </c>
      <c r="E243" s="2">
        <v>43371.734606481485</v>
      </c>
      <c r="F243" s="1" t="str">
        <f>+TEXT(meli[[#This Row],[date_created]],"HH:MM")</f>
        <v>17:37</v>
      </c>
      <c r="G243" t="s">
        <v>506</v>
      </c>
      <c r="H243" t="s">
        <v>507</v>
      </c>
      <c r="I243" t="s">
        <v>12</v>
      </c>
    </row>
    <row r="244" spans="1:9" x14ac:dyDescent="0.3">
      <c r="A244" t="s">
        <v>518</v>
      </c>
      <c r="B244">
        <v>9587</v>
      </c>
      <c r="C244" t="s">
        <v>519</v>
      </c>
      <c r="D244">
        <v>113880</v>
      </c>
      <c r="E244" s="2">
        <v>44134.752129629633</v>
      </c>
      <c r="F244" s="1" t="str">
        <f>+TEXT(meli[[#This Row],[date_created]],"HH:MM")</f>
        <v>18:03</v>
      </c>
      <c r="G244" t="s">
        <v>506</v>
      </c>
      <c r="H244" t="s">
        <v>507</v>
      </c>
      <c r="I244" t="s">
        <v>12</v>
      </c>
    </row>
    <row r="245" spans="1:9" x14ac:dyDescent="0.3">
      <c r="A245" t="s">
        <v>520</v>
      </c>
      <c r="B245">
        <v>7612</v>
      </c>
      <c r="C245" t="s">
        <v>521</v>
      </c>
      <c r="D245">
        <v>480990</v>
      </c>
      <c r="E245" s="2">
        <v>43948.410046296296</v>
      </c>
      <c r="F245" s="1" t="str">
        <f>+TEXT(meli[[#This Row],[date_created]],"HH:MM")</f>
        <v>09:50</v>
      </c>
      <c r="G245" t="s">
        <v>506</v>
      </c>
      <c r="H245" t="s">
        <v>507</v>
      </c>
      <c r="I245" t="s">
        <v>12</v>
      </c>
    </row>
    <row r="246" spans="1:9" x14ac:dyDescent="0.3">
      <c r="A246" t="s">
        <v>522</v>
      </c>
      <c r="B246">
        <v>7480</v>
      </c>
      <c r="C246" t="s">
        <v>523</v>
      </c>
      <c r="D246">
        <v>163990</v>
      </c>
      <c r="E246" s="2">
        <v>44342.512974537036</v>
      </c>
      <c r="F246" s="1" t="str">
        <f>+TEXT(meli[[#This Row],[date_created]],"HH:MM")</f>
        <v>12:18</v>
      </c>
      <c r="G246" t="s">
        <v>506</v>
      </c>
      <c r="H246" t="s">
        <v>507</v>
      </c>
      <c r="I246" t="s">
        <v>12</v>
      </c>
    </row>
    <row r="247" spans="1:9" x14ac:dyDescent="0.3">
      <c r="A247" t="s">
        <v>524</v>
      </c>
      <c r="B247">
        <v>5000</v>
      </c>
      <c r="C247" t="s">
        <v>525</v>
      </c>
      <c r="D247">
        <v>41990</v>
      </c>
      <c r="E247" s="2">
        <v>43727.656423611108</v>
      </c>
      <c r="F247" s="1" t="str">
        <f>+TEXT(meli[[#This Row],[date_created]],"HH:MM")</f>
        <v>15:45</v>
      </c>
      <c r="G247" t="s">
        <v>506</v>
      </c>
      <c r="H247" t="s">
        <v>507</v>
      </c>
      <c r="I247" t="s">
        <v>21</v>
      </c>
    </row>
    <row r="248" spans="1:9" x14ac:dyDescent="0.3">
      <c r="A248" t="s">
        <v>526</v>
      </c>
      <c r="B248">
        <v>2521</v>
      </c>
      <c r="C248" t="s">
        <v>527</v>
      </c>
      <c r="D248">
        <v>992405</v>
      </c>
      <c r="E248" s="2">
        <v>43524.512939814813</v>
      </c>
      <c r="F248" s="1" t="str">
        <f>+TEXT(meli[[#This Row],[date_created]],"HH:MM")</f>
        <v>12:18</v>
      </c>
      <c r="G248" t="s">
        <v>506</v>
      </c>
      <c r="H248" t="s">
        <v>507</v>
      </c>
      <c r="I248" t="s">
        <v>12</v>
      </c>
    </row>
    <row r="249" spans="1:9" x14ac:dyDescent="0.3">
      <c r="A249" t="s">
        <v>528</v>
      </c>
      <c r="B249">
        <v>1516</v>
      </c>
      <c r="C249" t="s">
        <v>529</v>
      </c>
      <c r="D249">
        <v>146990</v>
      </c>
      <c r="E249" s="2">
        <v>45044.765370370369</v>
      </c>
      <c r="F249" s="1" t="str">
        <f>+TEXT(meli[[#This Row],[date_created]],"HH:MM")</f>
        <v>18:22</v>
      </c>
      <c r="G249" t="s">
        <v>506</v>
      </c>
      <c r="H249" t="s">
        <v>507</v>
      </c>
      <c r="I249" t="s">
        <v>12</v>
      </c>
    </row>
    <row r="250" spans="1:9" x14ac:dyDescent="0.3">
      <c r="A250" t="s">
        <v>530</v>
      </c>
      <c r="B250">
        <v>1128</v>
      </c>
      <c r="C250" t="s">
        <v>531</v>
      </c>
      <c r="D250">
        <v>119990</v>
      </c>
      <c r="E250" s="2">
        <v>45008.40761574074</v>
      </c>
      <c r="F250" s="1" t="str">
        <f>+TEXT(meli[[#This Row],[date_created]],"HH:MM")</f>
        <v>09:46</v>
      </c>
      <c r="G250" t="s">
        <v>506</v>
      </c>
      <c r="H250" t="s">
        <v>507</v>
      </c>
      <c r="I250" t="s">
        <v>12</v>
      </c>
    </row>
    <row r="251" spans="1:9" x14ac:dyDescent="0.3">
      <c r="A251" t="s">
        <v>532</v>
      </c>
      <c r="B251">
        <v>1000</v>
      </c>
      <c r="C251" t="s">
        <v>533</v>
      </c>
      <c r="D251">
        <v>64505</v>
      </c>
      <c r="E251" s="2">
        <v>44216.473460648151</v>
      </c>
      <c r="F251" s="1" t="str">
        <f>+TEXT(meli[[#This Row],[date_created]],"HH:MM")</f>
        <v>11:21</v>
      </c>
      <c r="G251" t="s">
        <v>506</v>
      </c>
      <c r="H251" t="s">
        <v>507</v>
      </c>
      <c r="I251" t="s">
        <v>21</v>
      </c>
    </row>
    <row r="252" spans="1:9" x14ac:dyDescent="0.3">
      <c r="A252" t="s">
        <v>534</v>
      </c>
      <c r="B252">
        <v>500</v>
      </c>
      <c r="C252" t="s">
        <v>535</v>
      </c>
      <c r="D252">
        <v>25990</v>
      </c>
      <c r="E252" s="2">
        <v>44676.832986111112</v>
      </c>
      <c r="F252" s="1" t="str">
        <f>+TEXT(meli[[#This Row],[date_created]],"HH:MM")</f>
        <v>19:59</v>
      </c>
      <c r="G252" t="s">
        <v>506</v>
      </c>
      <c r="H252" t="s">
        <v>507</v>
      </c>
      <c r="I252" t="s">
        <v>21</v>
      </c>
    </row>
    <row r="253" spans="1:9" x14ac:dyDescent="0.3">
      <c r="A253" t="s">
        <v>536</v>
      </c>
      <c r="B253">
        <v>500</v>
      </c>
      <c r="C253" t="s">
        <v>537</v>
      </c>
      <c r="D253">
        <v>170290</v>
      </c>
      <c r="E253" s="2">
        <v>44461.570833333331</v>
      </c>
      <c r="F253" s="1" t="str">
        <f>+TEXT(meli[[#This Row],[date_created]],"HH:MM")</f>
        <v>13:42</v>
      </c>
      <c r="G253" t="s">
        <v>506</v>
      </c>
      <c r="H253" t="s">
        <v>507</v>
      </c>
      <c r="I253" t="s">
        <v>21</v>
      </c>
    </row>
    <row r="254" spans="1:9" x14ac:dyDescent="0.3">
      <c r="A254" t="s">
        <v>538</v>
      </c>
      <c r="B254">
        <v>500</v>
      </c>
      <c r="C254" t="s">
        <v>539</v>
      </c>
      <c r="D254">
        <v>1699915</v>
      </c>
      <c r="E254" s="2">
        <v>44238.508923611109</v>
      </c>
      <c r="F254" s="1" t="str">
        <f>+TEXT(meli[[#This Row],[date_created]],"HH:MM")</f>
        <v>12:12</v>
      </c>
      <c r="G254" t="s">
        <v>506</v>
      </c>
      <c r="H254" t="s">
        <v>507</v>
      </c>
      <c r="I254" t="s">
        <v>21</v>
      </c>
    </row>
    <row r="255" spans="1:9" x14ac:dyDescent="0.3">
      <c r="A255" t="s">
        <v>540</v>
      </c>
      <c r="B255">
        <v>500</v>
      </c>
      <c r="C255" t="s">
        <v>541</v>
      </c>
      <c r="D255">
        <v>77990</v>
      </c>
      <c r="E255" s="2">
        <v>42585.519270833334</v>
      </c>
      <c r="F255" s="1" t="str">
        <f>+TEXT(meli[[#This Row],[date_created]],"HH:MM")</f>
        <v>12:27</v>
      </c>
      <c r="G255" t="s">
        <v>506</v>
      </c>
      <c r="H255" t="s">
        <v>507</v>
      </c>
      <c r="I255" t="s">
        <v>21</v>
      </c>
    </row>
    <row r="256" spans="1:9" x14ac:dyDescent="0.3">
      <c r="A256" t="s">
        <v>542</v>
      </c>
      <c r="B256">
        <v>500</v>
      </c>
      <c r="C256" t="s">
        <v>543</v>
      </c>
      <c r="D256">
        <v>47432</v>
      </c>
      <c r="E256" s="2">
        <v>44112.569189814814</v>
      </c>
      <c r="F256" s="1" t="str">
        <f>+TEXT(meli[[#This Row],[date_created]],"HH:MM")</f>
        <v>13:39</v>
      </c>
      <c r="G256" t="s">
        <v>506</v>
      </c>
      <c r="H256" t="s">
        <v>507</v>
      </c>
      <c r="I256" t="s">
        <v>21</v>
      </c>
    </row>
    <row r="257" spans="1:9" x14ac:dyDescent="0.3">
      <c r="A257" t="s">
        <v>544</v>
      </c>
      <c r="B257">
        <v>250</v>
      </c>
      <c r="C257" t="s">
        <v>545</v>
      </c>
      <c r="D257">
        <v>446537</v>
      </c>
      <c r="E257" s="2">
        <v>44854.825324074074</v>
      </c>
      <c r="F257" s="1" t="str">
        <f>+TEXT(meli[[#This Row],[date_created]],"HH:MM")</f>
        <v>19:48</v>
      </c>
      <c r="G257" t="s">
        <v>506</v>
      </c>
      <c r="H257" t="s">
        <v>507</v>
      </c>
      <c r="I257" t="s">
        <v>21</v>
      </c>
    </row>
    <row r="258" spans="1:9" x14ac:dyDescent="0.3">
      <c r="A258" t="s">
        <v>546</v>
      </c>
      <c r="B258">
        <v>170052</v>
      </c>
      <c r="C258" t="s">
        <v>547</v>
      </c>
      <c r="D258">
        <v>190000</v>
      </c>
      <c r="E258" s="2">
        <v>43818.491157407407</v>
      </c>
      <c r="F258" s="1" t="str">
        <f>+TEXT(meli[[#This Row],[date_created]],"HH:MM")</f>
        <v>11:47</v>
      </c>
      <c r="G258" t="s">
        <v>548</v>
      </c>
      <c r="H258" t="s">
        <v>549</v>
      </c>
      <c r="I258" t="s">
        <v>12</v>
      </c>
    </row>
    <row r="259" spans="1:9" x14ac:dyDescent="0.3">
      <c r="A259" t="s">
        <v>550</v>
      </c>
      <c r="B259">
        <v>116726</v>
      </c>
      <c r="C259" t="s">
        <v>551</v>
      </c>
      <c r="D259">
        <v>163650</v>
      </c>
      <c r="E259" s="2">
        <v>44481.565138888887</v>
      </c>
      <c r="F259" s="1" t="str">
        <f>+TEXT(meli[[#This Row],[date_created]],"HH:MM")</f>
        <v>13:33</v>
      </c>
      <c r="G259" t="s">
        <v>548</v>
      </c>
      <c r="H259" t="s">
        <v>549</v>
      </c>
      <c r="I259" t="s">
        <v>12</v>
      </c>
    </row>
    <row r="260" spans="1:9" x14ac:dyDescent="0.3">
      <c r="A260" t="s">
        <v>552</v>
      </c>
      <c r="B260">
        <v>84086</v>
      </c>
      <c r="C260" t="s">
        <v>553</v>
      </c>
      <c r="D260">
        <v>57000</v>
      </c>
      <c r="E260" s="2">
        <v>44524.493657407409</v>
      </c>
      <c r="F260" s="1" t="str">
        <f>+TEXT(meli[[#This Row],[date_created]],"HH:MM")</f>
        <v>11:50</v>
      </c>
      <c r="G260" t="s">
        <v>548</v>
      </c>
      <c r="H260" t="s">
        <v>549</v>
      </c>
      <c r="I260" t="s">
        <v>12</v>
      </c>
    </row>
    <row r="261" spans="1:9" x14ac:dyDescent="0.3">
      <c r="A261" t="s">
        <v>554</v>
      </c>
      <c r="B261">
        <v>78628</v>
      </c>
      <c r="C261" t="s">
        <v>555</v>
      </c>
      <c r="D261">
        <v>116800</v>
      </c>
      <c r="E261" s="2">
        <v>43546.70108796296</v>
      </c>
      <c r="F261" s="1" t="str">
        <f>+TEXT(meli[[#This Row],[date_created]],"HH:MM")</f>
        <v>16:49</v>
      </c>
      <c r="G261" t="s">
        <v>548</v>
      </c>
      <c r="H261" t="s">
        <v>549</v>
      </c>
      <c r="I261" t="s">
        <v>12</v>
      </c>
    </row>
    <row r="262" spans="1:9" x14ac:dyDescent="0.3">
      <c r="A262" t="s">
        <v>556</v>
      </c>
      <c r="B262">
        <v>71592</v>
      </c>
      <c r="C262" t="s">
        <v>557</v>
      </c>
      <c r="D262">
        <v>165000</v>
      </c>
      <c r="E262" s="2">
        <v>44586.50854166667</v>
      </c>
      <c r="F262" s="1" t="str">
        <f>+TEXT(meli[[#This Row],[date_created]],"HH:MM")</f>
        <v>12:12</v>
      </c>
      <c r="G262" t="s">
        <v>548</v>
      </c>
      <c r="H262" t="s">
        <v>549</v>
      </c>
      <c r="I262" t="s">
        <v>12</v>
      </c>
    </row>
    <row r="263" spans="1:9" x14ac:dyDescent="0.3">
      <c r="A263" t="s">
        <v>558</v>
      </c>
      <c r="B263">
        <v>67042</v>
      </c>
      <c r="C263" t="s">
        <v>559</v>
      </c>
      <c r="D263">
        <v>116860</v>
      </c>
      <c r="E263" s="2">
        <v>43546.70108796296</v>
      </c>
      <c r="F263" s="1" t="str">
        <f>+TEXT(meli[[#This Row],[date_created]],"HH:MM")</f>
        <v>16:49</v>
      </c>
      <c r="G263" t="s">
        <v>548</v>
      </c>
      <c r="H263" t="s">
        <v>549</v>
      </c>
      <c r="I263" t="s">
        <v>12</v>
      </c>
    </row>
    <row r="264" spans="1:9" x14ac:dyDescent="0.3">
      <c r="A264" t="s">
        <v>560</v>
      </c>
      <c r="B264">
        <v>62428</v>
      </c>
      <c r="C264" t="s">
        <v>561</v>
      </c>
      <c r="D264">
        <v>116800</v>
      </c>
      <c r="E264" s="2">
        <v>43546.70108796296</v>
      </c>
      <c r="F264" s="1" t="str">
        <f>+TEXT(meli[[#This Row],[date_created]],"HH:MM")</f>
        <v>16:49</v>
      </c>
      <c r="G264" t="s">
        <v>548</v>
      </c>
      <c r="H264" t="s">
        <v>549</v>
      </c>
      <c r="I264" t="s">
        <v>12</v>
      </c>
    </row>
    <row r="265" spans="1:9" x14ac:dyDescent="0.3">
      <c r="A265" t="s">
        <v>562</v>
      </c>
      <c r="B265">
        <v>48734</v>
      </c>
      <c r="C265" t="s">
        <v>563</v>
      </c>
      <c r="D265">
        <v>95110</v>
      </c>
      <c r="E265" s="2">
        <v>44449.628842592596</v>
      </c>
      <c r="F265" s="1" t="str">
        <f>+TEXT(meli[[#This Row],[date_created]],"HH:MM")</f>
        <v>15:05</v>
      </c>
      <c r="G265" t="s">
        <v>548</v>
      </c>
      <c r="H265" t="s">
        <v>549</v>
      </c>
      <c r="I265" t="s">
        <v>12</v>
      </c>
    </row>
    <row r="266" spans="1:9" x14ac:dyDescent="0.3">
      <c r="A266" t="s">
        <v>564</v>
      </c>
      <c r="B266">
        <v>45084</v>
      </c>
      <c r="C266" t="s">
        <v>565</v>
      </c>
      <c r="D266">
        <v>19990</v>
      </c>
      <c r="E266" s="2">
        <v>44951.607708333337</v>
      </c>
      <c r="F266" s="1" t="str">
        <f>+TEXT(meli[[#This Row],[date_created]],"HH:MM")</f>
        <v>14:35</v>
      </c>
      <c r="G266" t="s">
        <v>548</v>
      </c>
      <c r="H266" t="s">
        <v>549</v>
      </c>
      <c r="I266" t="s">
        <v>12</v>
      </c>
    </row>
    <row r="267" spans="1:9" x14ac:dyDescent="0.3">
      <c r="A267" t="s">
        <v>566</v>
      </c>
      <c r="B267">
        <v>43998</v>
      </c>
      <c r="C267" t="s">
        <v>567</v>
      </c>
      <c r="D267">
        <v>1280287</v>
      </c>
      <c r="E267" s="2">
        <v>43536.492997685185</v>
      </c>
      <c r="F267" s="1" t="str">
        <f>+TEXT(meli[[#This Row],[date_created]],"HH:MM")</f>
        <v>11:49</v>
      </c>
      <c r="G267" t="s">
        <v>548</v>
      </c>
      <c r="H267" t="s">
        <v>549</v>
      </c>
      <c r="I267" t="s">
        <v>12</v>
      </c>
    </row>
    <row r="268" spans="1:9" x14ac:dyDescent="0.3">
      <c r="A268" t="s">
        <v>568</v>
      </c>
      <c r="B268">
        <v>39822</v>
      </c>
      <c r="C268" t="s">
        <v>569</v>
      </c>
      <c r="D268">
        <v>54000</v>
      </c>
      <c r="E268" s="2">
        <v>44792.837372685186</v>
      </c>
      <c r="F268" s="1" t="str">
        <f>+TEXT(meli[[#This Row],[date_created]],"HH:MM")</f>
        <v>20:05</v>
      </c>
      <c r="G268" t="s">
        <v>548</v>
      </c>
      <c r="H268" t="s">
        <v>549</v>
      </c>
      <c r="I268" t="s">
        <v>12</v>
      </c>
    </row>
    <row r="269" spans="1:9" x14ac:dyDescent="0.3">
      <c r="A269" t="s">
        <v>570</v>
      </c>
      <c r="B269">
        <v>37778</v>
      </c>
      <c r="C269" t="s">
        <v>571</v>
      </c>
      <c r="D269">
        <v>163640</v>
      </c>
      <c r="E269" s="2">
        <v>43445.711817129632</v>
      </c>
      <c r="F269" s="1" t="str">
        <f>+TEXT(meli[[#This Row],[date_created]],"HH:MM")</f>
        <v>17:05</v>
      </c>
      <c r="G269" t="s">
        <v>548</v>
      </c>
      <c r="H269" t="s">
        <v>549</v>
      </c>
      <c r="I269" t="s">
        <v>12</v>
      </c>
    </row>
    <row r="270" spans="1:9" x14ac:dyDescent="0.3">
      <c r="A270" t="s">
        <v>572</v>
      </c>
      <c r="B270">
        <v>9050</v>
      </c>
      <c r="C270" t="s">
        <v>573</v>
      </c>
      <c r="D270">
        <v>99900</v>
      </c>
      <c r="E270" s="2">
        <v>44792.837048611109</v>
      </c>
      <c r="F270" s="1" t="str">
        <f>+TEXT(meli[[#This Row],[date_created]],"HH:MM")</f>
        <v>20:05</v>
      </c>
      <c r="G270" t="s">
        <v>548</v>
      </c>
      <c r="H270" t="s">
        <v>549</v>
      </c>
      <c r="I270" t="s">
        <v>12</v>
      </c>
    </row>
    <row r="271" spans="1:9" x14ac:dyDescent="0.3">
      <c r="A271" t="s">
        <v>574</v>
      </c>
      <c r="B271">
        <v>4000</v>
      </c>
      <c r="C271" t="s">
        <v>575</v>
      </c>
      <c r="D271">
        <v>210000</v>
      </c>
      <c r="E271" s="2">
        <v>44426.612129629626</v>
      </c>
      <c r="F271" s="1" t="str">
        <f>+TEXT(meli[[#This Row],[date_created]],"HH:MM")</f>
        <v>14:41</v>
      </c>
      <c r="G271" t="s">
        <v>548</v>
      </c>
      <c r="H271" t="s">
        <v>549</v>
      </c>
      <c r="I271" t="s">
        <v>21</v>
      </c>
    </row>
    <row r="272" spans="1:9" x14ac:dyDescent="0.3">
      <c r="A272" t="s">
        <v>576</v>
      </c>
      <c r="B272">
        <v>3400</v>
      </c>
      <c r="C272" t="s">
        <v>577</v>
      </c>
      <c r="D272">
        <v>62000</v>
      </c>
      <c r="E272" s="2">
        <v>44803.649502314816</v>
      </c>
      <c r="F272" s="1" t="str">
        <f>+TEXT(meli[[#This Row],[date_created]],"HH:MM")</f>
        <v>15:35</v>
      </c>
      <c r="G272" t="s">
        <v>548</v>
      </c>
      <c r="H272" t="s">
        <v>549</v>
      </c>
      <c r="I272" t="s">
        <v>21</v>
      </c>
    </row>
    <row r="273" spans="1:9" x14ac:dyDescent="0.3">
      <c r="A273" t="s">
        <v>578</v>
      </c>
      <c r="B273">
        <v>2882</v>
      </c>
      <c r="C273" t="s">
        <v>579</v>
      </c>
      <c r="D273">
        <v>32950</v>
      </c>
      <c r="E273" s="2">
        <v>43642.635868055557</v>
      </c>
      <c r="F273" s="1" t="str">
        <f>+TEXT(meli[[#This Row],[date_created]],"HH:MM")</f>
        <v>15:15</v>
      </c>
      <c r="G273" t="s">
        <v>548</v>
      </c>
      <c r="H273" t="s">
        <v>549</v>
      </c>
      <c r="I273" t="s">
        <v>21</v>
      </c>
    </row>
    <row r="274" spans="1:9" x14ac:dyDescent="0.3">
      <c r="A274" t="s">
        <v>580</v>
      </c>
      <c r="B274">
        <v>2250</v>
      </c>
      <c r="C274" t="s">
        <v>581</v>
      </c>
      <c r="D274">
        <v>2703812</v>
      </c>
      <c r="E274" s="2">
        <v>42636.724016203705</v>
      </c>
      <c r="F274" s="1" t="str">
        <f>+TEXT(meli[[#This Row],[date_created]],"HH:MM")</f>
        <v>17:22</v>
      </c>
      <c r="G274" t="s">
        <v>548</v>
      </c>
      <c r="H274" t="s">
        <v>549</v>
      </c>
      <c r="I274" t="s">
        <v>21</v>
      </c>
    </row>
    <row r="275" spans="1:9" x14ac:dyDescent="0.3">
      <c r="A275" t="s">
        <v>582</v>
      </c>
      <c r="B275">
        <v>2050</v>
      </c>
      <c r="C275" t="s">
        <v>583</v>
      </c>
      <c r="D275">
        <v>189900</v>
      </c>
      <c r="E275" s="2">
        <v>44726.706412037034</v>
      </c>
      <c r="F275" s="1" t="str">
        <f>+TEXT(meli[[#This Row],[date_created]],"HH:MM")</f>
        <v>16:57</v>
      </c>
      <c r="G275" t="s">
        <v>548</v>
      </c>
      <c r="H275" t="s">
        <v>549</v>
      </c>
      <c r="I275" t="s">
        <v>12</v>
      </c>
    </row>
    <row r="276" spans="1:9" x14ac:dyDescent="0.3">
      <c r="A276" t="s">
        <v>584</v>
      </c>
      <c r="B276">
        <v>500</v>
      </c>
      <c r="C276" t="s">
        <v>585</v>
      </c>
      <c r="D276">
        <v>419930</v>
      </c>
      <c r="E276" s="2">
        <v>45013.481342592589</v>
      </c>
      <c r="F276" s="1" t="str">
        <f>+TEXT(meli[[#This Row],[date_created]],"HH:MM")</f>
        <v>11:33</v>
      </c>
      <c r="G276" t="s">
        <v>548</v>
      </c>
      <c r="H276" t="s">
        <v>549</v>
      </c>
      <c r="I276" t="s">
        <v>21</v>
      </c>
    </row>
    <row r="277" spans="1:9" x14ac:dyDescent="0.3">
      <c r="A277" t="s">
        <v>586</v>
      </c>
      <c r="B277">
        <v>49330</v>
      </c>
      <c r="C277" t="s">
        <v>587</v>
      </c>
      <c r="D277">
        <v>143910</v>
      </c>
      <c r="E277" s="2">
        <v>44750.793923611112</v>
      </c>
      <c r="F277" s="1" t="str">
        <f>+TEXT(meli[[#This Row],[date_created]],"HH:MM")</f>
        <v>19:03</v>
      </c>
      <c r="G277" t="s">
        <v>588</v>
      </c>
      <c r="H277" t="s">
        <v>589</v>
      </c>
      <c r="I277" t="s">
        <v>12</v>
      </c>
    </row>
    <row r="278" spans="1:9" x14ac:dyDescent="0.3">
      <c r="A278" t="s">
        <v>590</v>
      </c>
      <c r="B278">
        <v>46843</v>
      </c>
      <c r="C278" t="s">
        <v>591</v>
      </c>
      <c r="D278">
        <v>35240</v>
      </c>
      <c r="E278" s="2">
        <v>44944.411689814813</v>
      </c>
      <c r="F278" s="1" t="str">
        <f>+TEXT(meli[[#This Row],[date_created]],"HH:MM")</f>
        <v>09:52</v>
      </c>
      <c r="G278" t="s">
        <v>588</v>
      </c>
      <c r="H278" t="s">
        <v>589</v>
      </c>
      <c r="I278" t="s">
        <v>12</v>
      </c>
    </row>
    <row r="279" spans="1:9" x14ac:dyDescent="0.3">
      <c r="A279" t="s">
        <v>592</v>
      </c>
      <c r="B279">
        <v>43784</v>
      </c>
      <c r="C279" t="s">
        <v>593</v>
      </c>
      <c r="D279">
        <v>194900</v>
      </c>
      <c r="E279" s="2">
        <v>44098.543483796297</v>
      </c>
      <c r="F279" s="1" t="str">
        <f>+TEXT(meli[[#This Row],[date_created]],"HH:MM")</f>
        <v>13:02</v>
      </c>
      <c r="G279" t="s">
        <v>588</v>
      </c>
      <c r="H279" t="s">
        <v>589</v>
      </c>
      <c r="I279" t="s">
        <v>12</v>
      </c>
    </row>
    <row r="280" spans="1:9" x14ac:dyDescent="0.3">
      <c r="A280" t="s">
        <v>594</v>
      </c>
      <c r="B280">
        <v>41982</v>
      </c>
      <c r="C280" t="s">
        <v>595</v>
      </c>
      <c r="D280">
        <v>37990</v>
      </c>
      <c r="E280" s="2">
        <v>44882.001180555555</v>
      </c>
      <c r="F280" s="1" t="str">
        <f>+TEXT(meli[[#This Row],[date_created]],"HH:MM")</f>
        <v>00:01</v>
      </c>
      <c r="G280" t="s">
        <v>588</v>
      </c>
      <c r="H280" t="s">
        <v>589</v>
      </c>
      <c r="I280" t="s">
        <v>12</v>
      </c>
    </row>
    <row r="281" spans="1:9" x14ac:dyDescent="0.3">
      <c r="A281" t="s">
        <v>596</v>
      </c>
      <c r="B281">
        <v>24466</v>
      </c>
      <c r="C281" t="s">
        <v>597</v>
      </c>
      <c r="D281">
        <v>38990</v>
      </c>
      <c r="E281" s="2">
        <v>44886.779849537037</v>
      </c>
      <c r="F281" s="1" t="str">
        <f>+TEXT(meli[[#This Row],[date_created]],"HH:MM")</f>
        <v>18:42</v>
      </c>
      <c r="G281" t="s">
        <v>588</v>
      </c>
      <c r="H281" t="s">
        <v>589</v>
      </c>
      <c r="I281" t="s">
        <v>12</v>
      </c>
    </row>
    <row r="282" spans="1:9" x14ac:dyDescent="0.3">
      <c r="A282" t="s">
        <v>598</v>
      </c>
      <c r="B282">
        <v>23452</v>
      </c>
      <c r="C282" t="s">
        <v>599</v>
      </c>
      <c r="D282">
        <v>764810</v>
      </c>
      <c r="E282" s="2">
        <v>44256.537951388891</v>
      </c>
      <c r="F282" s="1" t="str">
        <f>+TEXT(meli[[#This Row],[date_created]],"HH:MM")</f>
        <v>12:54</v>
      </c>
      <c r="G282" t="s">
        <v>588</v>
      </c>
      <c r="H282" t="s">
        <v>589</v>
      </c>
      <c r="I282" t="s">
        <v>12</v>
      </c>
    </row>
    <row r="283" spans="1:9" x14ac:dyDescent="0.3">
      <c r="A283" t="s">
        <v>600</v>
      </c>
      <c r="B283">
        <v>21974</v>
      </c>
      <c r="C283" t="s">
        <v>601</v>
      </c>
      <c r="D283">
        <v>175000</v>
      </c>
      <c r="E283" s="2">
        <v>44770.689317129632</v>
      </c>
      <c r="F283" s="1" t="str">
        <f>+TEXT(meli[[#This Row],[date_created]],"HH:MM")</f>
        <v>16:32</v>
      </c>
      <c r="G283" t="s">
        <v>588</v>
      </c>
      <c r="H283" t="s">
        <v>589</v>
      </c>
      <c r="I283" t="s">
        <v>12</v>
      </c>
    </row>
    <row r="284" spans="1:9" x14ac:dyDescent="0.3">
      <c r="A284" t="s">
        <v>602</v>
      </c>
      <c r="B284">
        <v>20000</v>
      </c>
      <c r="C284" t="s">
        <v>603</v>
      </c>
      <c r="D284">
        <v>64990</v>
      </c>
      <c r="E284" s="2">
        <v>43626.464826388888</v>
      </c>
      <c r="F284" s="1" t="str">
        <f>+TEXT(meli[[#This Row],[date_created]],"HH:MM")</f>
        <v>11:09</v>
      </c>
      <c r="G284" t="s">
        <v>588</v>
      </c>
      <c r="H284" t="s">
        <v>589</v>
      </c>
      <c r="I284" t="s">
        <v>21</v>
      </c>
    </row>
    <row r="285" spans="1:9" x14ac:dyDescent="0.3">
      <c r="A285" t="s">
        <v>604</v>
      </c>
      <c r="B285">
        <v>16970</v>
      </c>
      <c r="C285" t="s">
        <v>605</v>
      </c>
      <c r="D285">
        <v>682500</v>
      </c>
      <c r="E285" s="2">
        <v>43955.492905092593</v>
      </c>
      <c r="F285" s="1" t="str">
        <f>+TEXT(meli[[#This Row],[date_created]],"HH:MM")</f>
        <v>11:49</v>
      </c>
      <c r="G285" t="s">
        <v>588</v>
      </c>
      <c r="H285" t="s">
        <v>589</v>
      </c>
      <c r="I285" t="s">
        <v>12</v>
      </c>
    </row>
    <row r="286" spans="1:9" x14ac:dyDescent="0.3">
      <c r="A286" t="s">
        <v>606</v>
      </c>
      <c r="B286">
        <v>13426</v>
      </c>
      <c r="C286" t="s">
        <v>607</v>
      </c>
      <c r="D286">
        <v>399990</v>
      </c>
      <c r="E286" s="2">
        <v>44034.670752314814</v>
      </c>
      <c r="F286" s="1" t="str">
        <f>+TEXT(meli[[#This Row],[date_created]],"HH:MM")</f>
        <v>16:05</v>
      </c>
      <c r="G286" t="s">
        <v>588</v>
      </c>
      <c r="H286" t="s">
        <v>589</v>
      </c>
      <c r="I286" t="s">
        <v>12</v>
      </c>
    </row>
    <row r="287" spans="1:9" x14ac:dyDescent="0.3">
      <c r="A287" t="s">
        <v>608</v>
      </c>
      <c r="B287">
        <v>10288</v>
      </c>
      <c r="C287" t="s">
        <v>609</v>
      </c>
      <c r="D287">
        <v>208990</v>
      </c>
      <c r="E287" s="2">
        <v>44750.794085648151</v>
      </c>
      <c r="F287" s="1" t="str">
        <f>+TEXT(meli[[#This Row],[date_created]],"HH:MM")</f>
        <v>19:03</v>
      </c>
      <c r="G287" t="s">
        <v>588</v>
      </c>
      <c r="H287" t="s">
        <v>589</v>
      </c>
      <c r="I287" t="s">
        <v>12</v>
      </c>
    </row>
    <row r="288" spans="1:9" x14ac:dyDescent="0.3">
      <c r="A288" t="s">
        <v>610</v>
      </c>
      <c r="B288">
        <v>6343</v>
      </c>
      <c r="C288" t="s">
        <v>611</v>
      </c>
      <c r="D288">
        <v>203990</v>
      </c>
      <c r="E288" s="2">
        <v>44861.756192129629</v>
      </c>
      <c r="F288" s="1" t="str">
        <f>+TEXT(meli[[#This Row],[date_created]],"HH:MM")</f>
        <v>18:08</v>
      </c>
      <c r="G288" t="s">
        <v>588</v>
      </c>
      <c r="H288" t="s">
        <v>589</v>
      </c>
      <c r="I288" t="s">
        <v>12</v>
      </c>
    </row>
    <row r="289" spans="1:9" x14ac:dyDescent="0.3">
      <c r="A289" t="s">
        <v>612</v>
      </c>
      <c r="B289">
        <v>5746</v>
      </c>
      <c r="C289" t="s">
        <v>613</v>
      </c>
      <c r="D289">
        <v>229990</v>
      </c>
      <c r="E289" s="2">
        <v>44859.418877314813</v>
      </c>
      <c r="F289" s="1" t="str">
        <f>+TEXT(meli[[#This Row],[date_created]],"HH:MM")</f>
        <v>10:03</v>
      </c>
      <c r="G289" t="s">
        <v>588</v>
      </c>
      <c r="H289" t="s">
        <v>589</v>
      </c>
      <c r="I289" t="s">
        <v>12</v>
      </c>
    </row>
    <row r="290" spans="1:9" x14ac:dyDescent="0.3">
      <c r="A290" t="s">
        <v>614</v>
      </c>
      <c r="B290">
        <v>4786</v>
      </c>
      <c r="C290" t="s">
        <v>615</v>
      </c>
      <c r="D290">
        <v>279990</v>
      </c>
      <c r="E290" s="2">
        <v>44889.890509259261</v>
      </c>
      <c r="F290" s="1" t="str">
        <f>+TEXT(meli[[#This Row],[date_created]],"HH:MM")</f>
        <v>21:22</v>
      </c>
      <c r="G290" t="s">
        <v>588</v>
      </c>
      <c r="H290" t="s">
        <v>589</v>
      </c>
      <c r="I290" t="s">
        <v>12</v>
      </c>
    </row>
    <row r="291" spans="1:9" x14ac:dyDescent="0.3">
      <c r="A291" t="s">
        <v>616</v>
      </c>
      <c r="B291">
        <v>4480</v>
      </c>
      <c r="C291" t="s">
        <v>617</v>
      </c>
      <c r="D291">
        <v>6499990</v>
      </c>
      <c r="E291" s="2">
        <v>44259.720081018517</v>
      </c>
      <c r="F291" s="1" t="str">
        <f>+TEXT(meli[[#This Row],[date_created]],"HH:MM")</f>
        <v>17:16</v>
      </c>
      <c r="G291" t="s">
        <v>588</v>
      </c>
      <c r="H291" t="s">
        <v>589</v>
      </c>
      <c r="I291" t="s">
        <v>12</v>
      </c>
    </row>
    <row r="292" spans="1:9" x14ac:dyDescent="0.3">
      <c r="A292" t="s">
        <v>618</v>
      </c>
      <c r="B292">
        <v>2882</v>
      </c>
      <c r="C292" t="s">
        <v>619</v>
      </c>
      <c r="D292">
        <v>143990</v>
      </c>
      <c r="E292" s="2">
        <v>45044.823182870372</v>
      </c>
      <c r="F292" s="1" t="str">
        <f>+TEXT(meli[[#This Row],[date_created]],"HH:MM")</f>
        <v>19:45</v>
      </c>
      <c r="G292" t="s">
        <v>588</v>
      </c>
      <c r="H292" t="s">
        <v>589</v>
      </c>
      <c r="I292" t="s">
        <v>12</v>
      </c>
    </row>
    <row r="293" spans="1:9" x14ac:dyDescent="0.3">
      <c r="A293" t="s">
        <v>620</v>
      </c>
      <c r="B293">
        <v>2035</v>
      </c>
      <c r="C293" t="s">
        <v>621</v>
      </c>
      <c r="D293">
        <v>243990</v>
      </c>
      <c r="E293" s="2">
        <v>44902.453564814816</v>
      </c>
      <c r="F293" s="1" t="str">
        <f>+TEXT(meli[[#This Row],[date_created]],"HH:MM")</f>
        <v>10:53</v>
      </c>
      <c r="G293" t="s">
        <v>588</v>
      </c>
      <c r="H293" t="s">
        <v>589</v>
      </c>
      <c r="I293" t="s">
        <v>12</v>
      </c>
    </row>
    <row r="294" spans="1:9" x14ac:dyDescent="0.3">
      <c r="A294" t="s">
        <v>622</v>
      </c>
      <c r="B294">
        <v>1905</v>
      </c>
      <c r="C294" t="s">
        <v>623</v>
      </c>
      <c r="D294">
        <v>294990</v>
      </c>
      <c r="E294" s="2">
        <v>45020.814039351855</v>
      </c>
      <c r="F294" s="1" t="str">
        <f>+TEXT(meli[[#This Row],[date_created]],"HH:MM")</f>
        <v>19:32</v>
      </c>
      <c r="G294" t="s">
        <v>588</v>
      </c>
      <c r="H294" t="s">
        <v>589</v>
      </c>
      <c r="I294" t="s">
        <v>12</v>
      </c>
    </row>
    <row r="295" spans="1:9" x14ac:dyDescent="0.3">
      <c r="A295" t="s">
        <v>624</v>
      </c>
      <c r="B295">
        <v>500</v>
      </c>
      <c r="C295" t="s">
        <v>625</v>
      </c>
      <c r="D295">
        <v>212690</v>
      </c>
      <c r="E295" s="2">
        <v>44384.472129629627</v>
      </c>
      <c r="F295" s="1" t="str">
        <f>+TEXT(meli[[#This Row],[date_created]],"HH:MM")</f>
        <v>11:19</v>
      </c>
      <c r="G295" t="s">
        <v>588</v>
      </c>
      <c r="H295" t="s">
        <v>589</v>
      </c>
      <c r="I295" t="s">
        <v>21</v>
      </c>
    </row>
    <row r="296" spans="1:9" x14ac:dyDescent="0.3">
      <c r="A296" t="s">
        <v>626</v>
      </c>
      <c r="B296">
        <v>142492</v>
      </c>
      <c r="C296" t="s">
        <v>627</v>
      </c>
      <c r="D296">
        <v>33990</v>
      </c>
      <c r="E296" s="2">
        <v>44502.442245370374</v>
      </c>
      <c r="F296" s="1" t="str">
        <f>+TEXT(meli[[#This Row],[date_created]],"HH:MM")</f>
        <v>10:36</v>
      </c>
      <c r="G296" t="s">
        <v>628</v>
      </c>
      <c r="H296" t="s">
        <v>629</v>
      </c>
      <c r="I296" t="s">
        <v>12</v>
      </c>
    </row>
    <row r="297" spans="1:9" x14ac:dyDescent="0.3">
      <c r="A297" t="s">
        <v>630</v>
      </c>
      <c r="B297">
        <v>113056</v>
      </c>
      <c r="C297" t="s">
        <v>631</v>
      </c>
      <c r="D297">
        <v>59992</v>
      </c>
      <c r="E297" s="2">
        <v>44139.439780092594</v>
      </c>
      <c r="F297" s="1" t="str">
        <f>+TEXT(meli[[#This Row],[date_created]],"HH:MM")</f>
        <v>10:33</v>
      </c>
      <c r="G297" t="s">
        <v>628</v>
      </c>
      <c r="H297" t="s">
        <v>629</v>
      </c>
      <c r="I297" t="s">
        <v>12</v>
      </c>
    </row>
    <row r="298" spans="1:9" x14ac:dyDescent="0.3">
      <c r="A298" t="s">
        <v>632</v>
      </c>
      <c r="B298">
        <v>80262</v>
      </c>
      <c r="C298" t="s">
        <v>633</v>
      </c>
      <c r="D298">
        <v>36110</v>
      </c>
      <c r="E298" s="2">
        <v>44285.501504629632</v>
      </c>
      <c r="F298" s="1" t="str">
        <f>+TEXT(meli[[#This Row],[date_created]],"HH:MM")</f>
        <v>12:02</v>
      </c>
      <c r="G298" t="s">
        <v>628</v>
      </c>
      <c r="H298" t="s">
        <v>629</v>
      </c>
      <c r="I298" t="s">
        <v>12</v>
      </c>
    </row>
    <row r="299" spans="1:9" x14ac:dyDescent="0.3">
      <c r="A299" t="s">
        <v>634</v>
      </c>
      <c r="B299">
        <v>56816</v>
      </c>
      <c r="C299" t="s">
        <v>635</v>
      </c>
      <c r="D299">
        <v>36990</v>
      </c>
      <c r="E299" s="2">
        <v>44881.753564814811</v>
      </c>
      <c r="F299" s="1" t="str">
        <f>+TEXT(meli[[#This Row],[date_created]],"HH:MM")</f>
        <v>18:05</v>
      </c>
      <c r="G299" t="s">
        <v>628</v>
      </c>
      <c r="H299" t="s">
        <v>629</v>
      </c>
      <c r="I299" t="s">
        <v>12</v>
      </c>
    </row>
    <row r="300" spans="1:9" x14ac:dyDescent="0.3">
      <c r="A300" t="s">
        <v>636</v>
      </c>
      <c r="B300">
        <v>52524</v>
      </c>
      <c r="C300" t="s">
        <v>637</v>
      </c>
      <c r="D300">
        <v>68500</v>
      </c>
      <c r="E300" s="2">
        <v>44764.793587962966</v>
      </c>
      <c r="F300" s="1" t="str">
        <f>+TEXT(meli[[#This Row],[date_created]],"HH:MM")</f>
        <v>19:02</v>
      </c>
      <c r="G300" t="s">
        <v>628</v>
      </c>
      <c r="H300" t="s">
        <v>629</v>
      </c>
      <c r="I300" t="s">
        <v>12</v>
      </c>
    </row>
    <row r="301" spans="1:9" x14ac:dyDescent="0.3">
      <c r="A301" t="s">
        <v>638</v>
      </c>
      <c r="B301">
        <v>46258</v>
      </c>
      <c r="C301" t="s">
        <v>639</v>
      </c>
      <c r="D301">
        <v>56990</v>
      </c>
      <c r="E301" s="2">
        <v>44109.527199074073</v>
      </c>
      <c r="F301" s="1" t="str">
        <f>+TEXT(meli[[#This Row],[date_created]],"HH:MM")</f>
        <v>12:39</v>
      </c>
      <c r="G301" t="s">
        <v>628</v>
      </c>
      <c r="H301" t="s">
        <v>629</v>
      </c>
      <c r="I301" t="s">
        <v>12</v>
      </c>
    </row>
    <row r="302" spans="1:9" x14ac:dyDescent="0.3">
      <c r="A302" t="s">
        <v>640</v>
      </c>
      <c r="B302">
        <v>46038</v>
      </c>
      <c r="C302" t="s">
        <v>641</v>
      </c>
      <c r="D302">
        <v>86990</v>
      </c>
      <c r="E302" s="2">
        <v>44468.417615740742</v>
      </c>
      <c r="F302" s="1" t="str">
        <f>+TEXT(meli[[#This Row],[date_created]],"HH:MM")</f>
        <v>10:01</v>
      </c>
      <c r="G302" t="s">
        <v>628</v>
      </c>
      <c r="H302" t="s">
        <v>629</v>
      </c>
      <c r="I302" t="s">
        <v>12</v>
      </c>
    </row>
    <row r="303" spans="1:9" x14ac:dyDescent="0.3">
      <c r="A303" t="s">
        <v>642</v>
      </c>
      <c r="B303">
        <v>24827</v>
      </c>
      <c r="C303" t="s">
        <v>643</v>
      </c>
      <c r="D303">
        <v>399900</v>
      </c>
      <c r="E303" s="2">
        <v>44944.392685185187</v>
      </c>
      <c r="F303" s="1" t="str">
        <f>+TEXT(meli[[#This Row],[date_created]],"HH:MM")</f>
        <v>09:25</v>
      </c>
      <c r="G303" t="s">
        <v>628</v>
      </c>
      <c r="H303" t="s">
        <v>629</v>
      </c>
      <c r="I303" t="s">
        <v>12</v>
      </c>
    </row>
    <row r="304" spans="1:9" x14ac:dyDescent="0.3">
      <c r="A304" t="s">
        <v>644</v>
      </c>
      <c r="B304">
        <v>24149</v>
      </c>
      <c r="C304" t="s">
        <v>645</v>
      </c>
      <c r="D304">
        <v>34000</v>
      </c>
      <c r="E304" s="2">
        <v>44770.927997685183</v>
      </c>
      <c r="F304" s="1" t="str">
        <f>+TEXT(meli[[#This Row],[date_created]],"HH:MM")</f>
        <v>22:16</v>
      </c>
      <c r="G304" t="s">
        <v>628</v>
      </c>
      <c r="H304" t="s">
        <v>629</v>
      </c>
      <c r="I304" t="s">
        <v>12</v>
      </c>
    </row>
    <row r="305" spans="1:9" x14ac:dyDescent="0.3">
      <c r="A305" t="s">
        <v>646</v>
      </c>
      <c r="B305">
        <v>22352</v>
      </c>
      <c r="C305" t="s">
        <v>647</v>
      </c>
      <c r="D305">
        <v>69900</v>
      </c>
      <c r="E305" s="2">
        <v>44884.778738425928</v>
      </c>
      <c r="F305" s="1" t="str">
        <f>+TEXT(meli[[#This Row],[date_created]],"HH:MM")</f>
        <v>18:41</v>
      </c>
      <c r="G305" t="s">
        <v>628</v>
      </c>
      <c r="H305" t="s">
        <v>629</v>
      </c>
      <c r="I305" t="s">
        <v>12</v>
      </c>
    </row>
    <row r="306" spans="1:9" x14ac:dyDescent="0.3">
      <c r="A306" t="s">
        <v>648</v>
      </c>
      <c r="B306">
        <v>19524</v>
      </c>
      <c r="C306" t="s">
        <v>649</v>
      </c>
      <c r="D306">
        <v>1079990</v>
      </c>
      <c r="E306" s="2">
        <v>44762.793483796297</v>
      </c>
      <c r="F306" s="1" t="str">
        <f>+TEXT(meli[[#This Row],[date_created]],"HH:MM")</f>
        <v>19:02</v>
      </c>
      <c r="G306" t="s">
        <v>628</v>
      </c>
      <c r="H306" t="s">
        <v>629</v>
      </c>
      <c r="I306" t="s">
        <v>12</v>
      </c>
    </row>
    <row r="307" spans="1:9" x14ac:dyDescent="0.3">
      <c r="A307" t="s">
        <v>650</v>
      </c>
      <c r="B307">
        <v>5307</v>
      </c>
      <c r="C307" t="s">
        <v>651</v>
      </c>
      <c r="D307">
        <v>168360</v>
      </c>
      <c r="E307" s="2">
        <v>44902.447951388887</v>
      </c>
      <c r="F307" s="1" t="str">
        <f>+TEXT(meli[[#This Row],[date_created]],"HH:MM")</f>
        <v>10:45</v>
      </c>
      <c r="G307" t="s">
        <v>628</v>
      </c>
      <c r="H307" t="s">
        <v>629</v>
      </c>
      <c r="I307" t="s">
        <v>12</v>
      </c>
    </row>
    <row r="308" spans="1:9" x14ac:dyDescent="0.3">
      <c r="A308" t="s">
        <v>652</v>
      </c>
      <c r="B308">
        <v>5000</v>
      </c>
      <c r="C308" t="s">
        <v>653</v>
      </c>
      <c r="D308">
        <v>48910</v>
      </c>
      <c r="E308" s="2">
        <v>44824.620937500003</v>
      </c>
      <c r="F308" s="1" t="str">
        <f>+TEXT(meli[[#This Row],[date_created]],"HH:MM")</f>
        <v>14:54</v>
      </c>
      <c r="G308" t="s">
        <v>628</v>
      </c>
      <c r="H308" t="s">
        <v>629</v>
      </c>
      <c r="I308" t="s">
        <v>21</v>
      </c>
    </row>
    <row r="309" spans="1:9" x14ac:dyDescent="0.3">
      <c r="A309" t="s">
        <v>654</v>
      </c>
      <c r="B309">
        <v>5000</v>
      </c>
      <c r="C309" t="s">
        <v>655</v>
      </c>
      <c r="D309">
        <v>36850</v>
      </c>
      <c r="E309" s="2">
        <v>45009.773263888892</v>
      </c>
      <c r="F309" s="1" t="str">
        <f>+TEXT(meli[[#This Row],[date_created]],"HH:MM")</f>
        <v>18:33</v>
      </c>
      <c r="G309" t="s">
        <v>628</v>
      </c>
      <c r="H309" t="s">
        <v>629</v>
      </c>
      <c r="I309" t="s">
        <v>21</v>
      </c>
    </row>
    <row r="310" spans="1:9" x14ac:dyDescent="0.3">
      <c r="A310" t="s">
        <v>656</v>
      </c>
      <c r="B310">
        <v>159296</v>
      </c>
      <c r="C310" t="s">
        <v>657</v>
      </c>
      <c r="D310">
        <v>231900</v>
      </c>
      <c r="E310" s="2">
        <v>42219.55400462963</v>
      </c>
      <c r="F310" s="1" t="str">
        <f>+TEXT(meli[[#This Row],[date_created]],"HH:MM")</f>
        <v>13:17</v>
      </c>
      <c r="G310" t="s">
        <v>658</v>
      </c>
      <c r="H310" t="s">
        <v>659</v>
      </c>
      <c r="I310" t="s">
        <v>12</v>
      </c>
    </row>
    <row r="311" spans="1:9" x14ac:dyDescent="0.3">
      <c r="A311" t="s">
        <v>660</v>
      </c>
      <c r="B311">
        <v>67098</v>
      </c>
      <c r="C311" t="s">
        <v>661</v>
      </c>
      <c r="D311">
        <v>179900</v>
      </c>
      <c r="E311" s="2">
        <v>42219.553877314815</v>
      </c>
      <c r="F311" s="1" t="str">
        <f>+TEXT(meli[[#This Row],[date_created]],"HH:MM")</f>
        <v>13:17</v>
      </c>
      <c r="G311" t="s">
        <v>658</v>
      </c>
      <c r="H311" t="s">
        <v>659</v>
      </c>
      <c r="I311" t="s">
        <v>12</v>
      </c>
    </row>
    <row r="312" spans="1:9" x14ac:dyDescent="0.3">
      <c r="A312" t="s">
        <v>662</v>
      </c>
      <c r="B312">
        <v>45066</v>
      </c>
      <c r="C312" t="s">
        <v>663</v>
      </c>
      <c r="D312">
        <v>172490</v>
      </c>
      <c r="E312" s="2">
        <v>43971.602314814816</v>
      </c>
      <c r="F312" s="1" t="str">
        <f>+TEXT(meli[[#This Row],[date_created]],"HH:MM")</f>
        <v>14:27</v>
      </c>
      <c r="G312" t="s">
        <v>658</v>
      </c>
      <c r="H312" t="s">
        <v>659</v>
      </c>
      <c r="I312" t="s">
        <v>12</v>
      </c>
    </row>
    <row r="313" spans="1:9" x14ac:dyDescent="0.3">
      <c r="A313" t="s">
        <v>664</v>
      </c>
      <c r="B313">
        <v>30908</v>
      </c>
      <c r="C313" t="s">
        <v>665</v>
      </c>
      <c r="D313">
        <v>365005</v>
      </c>
      <c r="E313" s="2">
        <v>43299.75949074074</v>
      </c>
      <c r="F313" s="1" t="str">
        <f>+TEXT(meli[[#This Row],[date_created]],"HH:MM")</f>
        <v>18:13</v>
      </c>
      <c r="G313" t="s">
        <v>658</v>
      </c>
      <c r="H313" t="s">
        <v>659</v>
      </c>
      <c r="I313" t="s">
        <v>12</v>
      </c>
    </row>
    <row r="314" spans="1:9" x14ac:dyDescent="0.3">
      <c r="A314" t="s">
        <v>666</v>
      </c>
      <c r="B314">
        <v>28454</v>
      </c>
      <c r="C314" t="s">
        <v>667</v>
      </c>
      <c r="D314">
        <v>359990</v>
      </c>
      <c r="E314" s="2">
        <v>43686.707858796297</v>
      </c>
      <c r="F314" s="1" t="str">
        <f>+TEXT(meli[[#This Row],[date_created]],"HH:MM")</f>
        <v>16:59</v>
      </c>
      <c r="G314" t="s">
        <v>658</v>
      </c>
      <c r="H314" t="s">
        <v>659</v>
      </c>
      <c r="I314" t="s">
        <v>12</v>
      </c>
    </row>
    <row r="315" spans="1:9" x14ac:dyDescent="0.3">
      <c r="A315" t="s">
        <v>668</v>
      </c>
      <c r="B315">
        <v>20988</v>
      </c>
      <c r="C315" t="s">
        <v>669</v>
      </c>
      <c r="D315">
        <v>299900</v>
      </c>
      <c r="E315" s="2">
        <v>43922.813761574071</v>
      </c>
      <c r="F315" s="1" t="str">
        <f>+TEXT(meli[[#This Row],[date_created]],"HH:MM")</f>
        <v>19:31</v>
      </c>
      <c r="G315" t="s">
        <v>658</v>
      </c>
      <c r="H315" t="s">
        <v>659</v>
      </c>
      <c r="I315" t="s">
        <v>12</v>
      </c>
    </row>
    <row r="316" spans="1:9" x14ac:dyDescent="0.3">
      <c r="A316" t="s">
        <v>670</v>
      </c>
      <c r="B316">
        <v>20266</v>
      </c>
      <c r="C316" t="s">
        <v>671</v>
      </c>
      <c r="D316">
        <v>166990</v>
      </c>
      <c r="E316" s="2">
        <v>44852.657731481479</v>
      </c>
      <c r="F316" s="1" t="str">
        <f>+TEXT(meli[[#This Row],[date_created]],"HH:MM")</f>
        <v>15:47</v>
      </c>
      <c r="G316" t="s">
        <v>658</v>
      </c>
      <c r="H316" t="s">
        <v>659</v>
      </c>
      <c r="I316" t="s">
        <v>12</v>
      </c>
    </row>
    <row r="317" spans="1:9" x14ac:dyDescent="0.3">
      <c r="A317" t="s">
        <v>672</v>
      </c>
      <c r="B317">
        <v>17179</v>
      </c>
      <c r="C317" t="s">
        <v>673</v>
      </c>
      <c r="D317">
        <v>123870</v>
      </c>
      <c r="E317" s="2">
        <v>45077.639467592591</v>
      </c>
      <c r="F317" s="1" t="str">
        <f>+TEXT(meli[[#This Row],[date_created]],"HH:MM")</f>
        <v>15:20</v>
      </c>
      <c r="G317" t="s">
        <v>658</v>
      </c>
      <c r="H317" t="s">
        <v>659</v>
      </c>
      <c r="I317" t="s">
        <v>12</v>
      </c>
    </row>
    <row r="318" spans="1:9" x14ac:dyDescent="0.3">
      <c r="A318" t="s">
        <v>674</v>
      </c>
      <c r="B318">
        <v>16630</v>
      </c>
      <c r="C318" t="s">
        <v>675</v>
      </c>
      <c r="D318">
        <v>265990</v>
      </c>
      <c r="E318" s="2">
        <v>44004.787418981483</v>
      </c>
      <c r="F318" s="1" t="str">
        <f>+TEXT(meli[[#This Row],[date_created]],"HH:MM")</f>
        <v>18:53</v>
      </c>
      <c r="G318" t="s">
        <v>658</v>
      </c>
      <c r="H318" t="s">
        <v>659</v>
      </c>
      <c r="I318" t="s">
        <v>12</v>
      </c>
    </row>
    <row r="319" spans="1:9" x14ac:dyDescent="0.3">
      <c r="A319" t="s">
        <v>676</v>
      </c>
      <c r="B319">
        <v>13368</v>
      </c>
      <c r="C319" t="s">
        <v>677</v>
      </c>
      <c r="D319">
        <v>349990</v>
      </c>
      <c r="E319" s="2">
        <v>44392.411620370367</v>
      </c>
      <c r="F319" s="1" t="str">
        <f>+TEXT(meli[[#This Row],[date_created]],"HH:MM")</f>
        <v>09:52</v>
      </c>
      <c r="G319" t="s">
        <v>658</v>
      </c>
      <c r="H319" t="s">
        <v>659</v>
      </c>
      <c r="I319" t="s">
        <v>12</v>
      </c>
    </row>
    <row r="320" spans="1:9" x14ac:dyDescent="0.3">
      <c r="A320" t="s">
        <v>678</v>
      </c>
      <c r="B320">
        <v>7746</v>
      </c>
      <c r="C320" t="s">
        <v>679</v>
      </c>
      <c r="D320">
        <v>147700</v>
      </c>
      <c r="E320" s="2">
        <v>44013.53193287037</v>
      </c>
      <c r="F320" s="1" t="str">
        <f>+TEXT(meli[[#This Row],[date_created]],"HH:MM")</f>
        <v>12:45</v>
      </c>
      <c r="G320" t="s">
        <v>658</v>
      </c>
      <c r="H320" t="s">
        <v>659</v>
      </c>
      <c r="I320" t="s">
        <v>12</v>
      </c>
    </row>
    <row r="321" spans="1:9" x14ac:dyDescent="0.3">
      <c r="A321" t="s">
        <v>680</v>
      </c>
      <c r="B321">
        <v>7262</v>
      </c>
      <c r="C321" t="s">
        <v>681</v>
      </c>
      <c r="D321">
        <v>365000</v>
      </c>
      <c r="E321" s="2">
        <v>43228.729479166665</v>
      </c>
      <c r="F321" s="1" t="str">
        <f>+TEXT(meli[[#This Row],[date_created]],"HH:MM")</f>
        <v>17:30</v>
      </c>
      <c r="G321" t="s">
        <v>658</v>
      </c>
      <c r="H321" t="s">
        <v>659</v>
      </c>
      <c r="I321" t="s">
        <v>12</v>
      </c>
    </row>
    <row r="322" spans="1:9" x14ac:dyDescent="0.3">
      <c r="A322" t="s">
        <v>682</v>
      </c>
      <c r="B322">
        <v>5000</v>
      </c>
      <c r="C322" t="s">
        <v>683</v>
      </c>
      <c r="D322">
        <v>369960</v>
      </c>
      <c r="E322" s="2">
        <v>45090.978182870371</v>
      </c>
      <c r="F322" s="1" t="str">
        <f>+TEXT(meli[[#This Row],[date_created]],"HH:MM")</f>
        <v>23:28</v>
      </c>
      <c r="G322" t="s">
        <v>658</v>
      </c>
      <c r="H322" t="s">
        <v>659</v>
      </c>
      <c r="I322" t="s">
        <v>21</v>
      </c>
    </row>
    <row r="323" spans="1:9" x14ac:dyDescent="0.3">
      <c r="A323" t="s">
        <v>684</v>
      </c>
      <c r="B323">
        <v>5000</v>
      </c>
      <c r="C323" t="s">
        <v>685</v>
      </c>
      <c r="D323">
        <v>99990</v>
      </c>
      <c r="E323" s="2">
        <v>44393.433900462966</v>
      </c>
      <c r="F323" s="1" t="str">
        <f>+TEXT(meli[[#This Row],[date_created]],"HH:MM")</f>
        <v>10:24</v>
      </c>
      <c r="G323" t="s">
        <v>658</v>
      </c>
      <c r="H323" t="s">
        <v>659</v>
      </c>
      <c r="I323" t="s">
        <v>21</v>
      </c>
    </row>
    <row r="324" spans="1:9" x14ac:dyDescent="0.3">
      <c r="A324" t="s">
        <v>686</v>
      </c>
      <c r="B324">
        <v>2322</v>
      </c>
      <c r="C324" t="s">
        <v>687</v>
      </c>
      <c r="D324">
        <v>267000</v>
      </c>
      <c r="E324" s="2">
        <v>44904.917175925926</v>
      </c>
      <c r="F324" s="1" t="str">
        <f>+TEXT(meli[[#This Row],[date_created]],"HH:MM")</f>
        <v>22:00</v>
      </c>
      <c r="G324" t="s">
        <v>658</v>
      </c>
      <c r="H324" t="s">
        <v>659</v>
      </c>
      <c r="I324" t="s">
        <v>12</v>
      </c>
    </row>
    <row r="325" spans="1:9" x14ac:dyDescent="0.3">
      <c r="A325" t="s">
        <v>688</v>
      </c>
      <c r="B325">
        <v>1609</v>
      </c>
      <c r="C325" t="s">
        <v>689</v>
      </c>
      <c r="D325">
        <v>988672</v>
      </c>
      <c r="E325" s="2">
        <v>45032.928287037037</v>
      </c>
      <c r="F325" s="1" t="str">
        <f>+TEXT(meli[[#This Row],[date_created]],"HH:MM")</f>
        <v>22:16</v>
      </c>
      <c r="G325" t="s">
        <v>658</v>
      </c>
      <c r="H325" t="s">
        <v>659</v>
      </c>
      <c r="I325" t="s">
        <v>12</v>
      </c>
    </row>
    <row r="326" spans="1:9" x14ac:dyDescent="0.3">
      <c r="A326" t="s">
        <v>690</v>
      </c>
      <c r="B326">
        <v>1195</v>
      </c>
      <c r="C326" t="s">
        <v>691</v>
      </c>
      <c r="D326">
        <v>159990</v>
      </c>
      <c r="E326" s="2">
        <v>45042.394849537035</v>
      </c>
      <c r="F326" s="1" t="str">
        <f>+TEXT(meli[[#This Row],[date_created]],"HH:MM")</f>
        <v>09:28</v>
      </c>
      <c r="G326" t="s">
        <v>658</v>
      </c>
      <c r="H326" t="s">
        <v>659</v>
      </c>
      <c r="I326" t="s">
        <v>12</v>
      </c>
    </row>
    <row r="327" spans="1:9" x14ac:dyDescent="0.3">
      <c r="A327" t="s">
        <v>692</v>
      </c>
      <c r="B327">
        <v>500</v>
      </c>
      <c r="C327" t="s">
        <v>693</v>
      </c>
      <c r="D327">
        <v>38990</v>
      </c>
      <c r="E327" s="2">
        <v>44643.729212962964</v>
      </c>
      <c r="F327" s="1" t="str">
        <f>+TEXT(meli[[#This Row],[date_created]],"HH:MM")</f>
        <v>17:30</v>
      </c>
      <c r="G327" t="s">
        <v>658</v>
      </c>
      <c r="H327" t="s">
        <v>659</v>
      </c>
      <c r="I327" t="s">
        <v>21</v>
      </c>
    </row>
    <row r="328" spans="1:9" x14ac:dyDescent="0.3">
      <c r="A328" t="s">
        <v>694</v>
      </c>
      <c r="B328">
        <v>250</v>
      </c>
      <c r="C328" t="s">
        <v>695</v>
      </c>
      <c r="D328">
        <v>277550</v>
      </c>
      <c r="E328" s="2">
        <v>45140.989201388889</v>
      </c>
      <c r="F328" s="1" t="str">
        <f>+TEXT(meli[[#This Row],[date_created]],"HH:MM")</f>
        <v>23:44</v>
      </c>
      <c r="G328" t="s">
        <v>658</v>
      </c>
      <c r="H328" t="s">
        <v>659</v>
      </c>
      <c r="I328" t="s">
        <v>21</v>
      </c>
    </row>
    <row r="329" spans="1:9" x14ac:dyDescent="0.3">
      <c r="A329" t="s">
        <v>696</v>
      </c>
      <c r="B329">
        <v>88178</v>
      </c>
      <c r="C329" t="s">
        <v>697</v>
      </c>
      <c r="D329">
        <v>14960</v>
      </c>
      <c r="E329" s="2">
        <v>44056.534884259258</v>
      </c>
      <c r="F329" s="1" t="str">
        <f>+TEXT(meli[[#This Row],[date_created]],"HH:MM")</f>
        <v>12:50</v>
      </c>
      <c r="G329" t="s">
        <v>698</v>
      </c>
      <c r="H329" t="s">
        <v>699</v>
      </c>
      <c r="I329" t="s">
        <v>12</v>
      </c>
    </row>
    <row r="330" spans="1:9" x14ac:dyDescent="0.3">
      <c r="A330" t="s">
        <v>700</v>
      </c>
      <c r="B330">
        <v>87508</v>
      </c>
      <c r="C330" t="s">
        <v>701</v>
      </c>
      <c r="D330">
        <v>80990</v>
      </c>
      <c r="E330" s="2">
        <v>44447.443194444444</v>
      </c>
      <c r="F330" s="1" t="str">
        <f>+TEXT(meli[[#This Row],[date_created]],"HH:MM")</f>
        <v>10:38</v>
      </c>
      <c r="G330" t="s">
        <v>698</v>
      </c>
      <c r="H330" t="s">
        <v>699</v>
      </c>
      <c r="I330" t="s">
        <v>12</v>
      </c>
    </row>
    <row r="331" spans="1:9" x14ac:dyDescent="0.3">
      <c r="A331" t="s">
        <v>702</v>
      </c>
      <c r="B331">
        <v>68180</v>
      </c>
      <c r="C331" t="s">
        <v>703</v>
      </c>
      <c r="D331">
        <v>299990</v>
      </c>
      <c r="E331" s="2">
        <v>44533.706250000003</v>
      </c>
      <c r="F331" s="1" t="str">
        <f>+TEXT(meli[[#This Row],[date_created]],"HH:MM")</f>
        <v>16:57</v>
      </c>
      <c r="G331" t="s">
        <v>698</v>
      </c>
      <c r="H331" t="s">
        <v>699</v>
      </c>
      <c r="I331" t="s">
        <v>12</v>
      </c>
    </row>
    <row r="332" spans="1:9" x14ac:dyDescent="0.3">
      <c r="A332" t="s">
        <v>704</v>
      </c>
      <c r="B332">
        <v>67073</v>
      </c>
      <c r="C332" t="s">
        <v>705</v>
      </c>
      <c r="D332">
        <v>19420</v>
      </c>
      <c r="E332" s="2">
        <v>44831.794131944444</v>
      </c>
      <c r="F332" s="1" t="str">
        <f>+TEXT(meli[[#This Row],[date_created]],"HH:MM")</f>
        <v>19:03</v>
      </c>
      <c r="G332" t="s">
        <v>698</v>
      </c>
      <c r="H332" t="s">
        <v>699</v>
      </c>
      <c r="I332" t="s">
        <v>12</v>
      </c>
    </row>
    <row r="333" spans="1:9" x14ac:dyDescent="0.3">
      <c r="A333" t="s">
        <v>706</v>
      </c>
      <c r="B333">
        <v>50132</v>
      </c>
      <c r="C333" t="s">
        <v>707</v>
      </c>
      <c r="D333">
        <v>393000</v>
      </c>
      <c r="E333" s="2">
        <v>44076.628263888888</v>
      </c>
      <c r="F333" s="1" t="str">
        <f>+TEXT(meli[[#This Row],[date_created]],"HH:MM")</f>
        <v>15:04</v>
      </c>
      <c r="G333" t="s">
        <v>698</v>
      </c>
      <c r="H333" t="s">
        <v>699</v>
      </c>
      <c r="I333" t="s">
        <v>12</v>
      </c>
    </row>
    <row r="334" spans="1:9" x14ac:dyDescent="0.3">
      <c r="A334" t="s">
        <v>708</v>
      </c>
      <c r="B334">
        <v>50000</v>
      </c>
      <c r="C334" t="s">
        <v>709</v>
      </c>
      <c r="D334">
        <v>597908</v>
      </c>
      <c r="E334" s="2">
        <v>44273.585023148145</v>
      </c>
      <c r="F334" s="1" t="str">
        <f>+TEXT(meli[[#This Row],[date_created]],"HH:MM")</f>
        <v>14:02</v>
      </c>
      <c r="G334" t="s">
        <v>698</v>
      </c>
      <c r="H334" t="s">
        <v>699</v>
      </c>
      <c r="I334" t="s">
        <v>21</v>
      </c>
    </row>
    <row r="335" spans="1:9" x14ac:dyDescent="0.3">
      <c r="A335" t="s">
        <v>710</v>
      </c>
      <c r="B335">
        <v>47500</v>
      </c>
      <c r="C335" t="s">
        <v>711</v>
      </c>
      <c r="D335">
        <v>157990</v>
      </c>
      <c r="E335" s="2">
        <v>43103.010416666664</v>
      </c>
      <c r="F335" s="1" t="str">
        <f>+TEXT(meli[[#This Row],[date_created]],"HH:MM")</f>
        <v>00:15</v>
      </c>
      <c r="G335" t="s">
        <v>698</v>
      </c>
      <c r="H335" t="s">
        <v>699</v>
      </c>
      <c r="I335" t="s">
        <v>21</v>
      </c>
    </row>
    <row r="336" spans="1:9" x14ac:dyDescent="0.3">
      <c r="A336" t="s">
        <v>712</v>
      </c>
      <c r="B336">
        <v>22552</v>
      </c>
      <c r="C336" t="s">
        <v>713</v>
      </c>
      <c r="D336">
        <v>53990</v>
      </c>
      <c r="E336" s="2">
        <v>45057.028946759259</v>
      </c>
      <c r="F336" s="1" t="str">
        <f>+TEXT(meli[[#This Row],[date_created]],"HH:MM")</f>
        <v>00:41</v>
      </c>
      <c r="G336" t="s">
        <v>698</v>
      </c>
      <c r="H336" t="s">
        <v>699</v>
      </c>
      <c r="I336" t="s">
        <v>12</v>
      </c>
    </row>
    <row r="337" spans="1:9" x14ac:dyDescent="0.3">
      <c r="A337" t="s">
        <v>714</v>
      </c>
      <c r="B337">
        <v>20682</v>
      </c>
      <c r="C337" t="s">
        <v>715</v>
      </c>
      <c r="D337">
        <v>390640</v>
      </c>
      <c r="E337" s="2">
        <v>44098.54587962963</v>
      </c>
      <c r="F337" s="1" t="str">
        <f>+TEXT(meli[[#This Row],[date_created]],"HH:MM")</f>
        <v>13:06</v>
      </c>
      <c r="G337" t="s">
        <v>698</v>
      </c>
      <c r="H337" t="s">
        <v>699</v>
      </c>
      <c r="I337" t="s">
        <v>12</v>
      </c>
    </row>
    <row r="338" spans="1:9" x14ac:dyDescent="0.3">
      <c r="A338" t="s">
        <v>716</v>
      </c>
      <c r="B338">
        <v>20480</v>
      </c>
      <c r="C338" t="s">
        <v>717</v>
      </c>
      <c r="D338">
        <v>36800</v>
      </c>
      <c r="E338" s="2">
        <v>44950.776412037034</v>
      </c>
      <c r="F338" s="1" t="str">
        <f>+TEXT(meli[[#This Row],[date_created]],"HH:MM")</f>
        <v>18:38</v>
      </c>
      <c r="G338" t="s">
        <v>698</v>
      </c>
      <c r="H338" t="s">
        <v>699</v>
      </c>
      <c r="I338" t="s">
        <v>12</v>
      </c>
    </row>
    <row r="339" spans="1:9" x14ac:dyDescent="0.3">
      <c r="A339" t="s">
        <v>718</v>
      </c>
      <c r="B339">
        <v>9150</v>
      </c>
      <c r="C339" t="s">
        <v>719</v>
      </c>
      <c r="D339">
        <v>379905</v>
      </c>
      <c r="E339" s="2">
        <v>43989.944166666668</v>
      </c>
      <c r="F339" s="1" t="str">
        <f>+TEXT(meli[[#This Row],[date_created]],"HH:MM")</f>
        <v>22:39</v>
      </c>
      <c r="G339" t="s">
        <v>698</v>
      </c>
      <c r="H339" t="s">
        <v>699</v>
      </c>
      <c r="I339" t="s">
        <v>21</v>
      </c>
    </row>
    <row r="340" spans="1:9" x14ac:dyDescent="0.3">
      <c r="A340" t="s">
        <v>720</v>
      </c>
      <c r="B340">
        <v>8074</v>
      </c>
      <c r="C340" t="s">
        <v>721</v>
      </c>
      <c r="D340">
        <v>2019884</v>
      </c>
      <c r="E340" s="2">
        <v>44481.463449074072</v>
      </c>
      <c r="F340" s="1" t="str">
        <f>+TEXT(meli[[#This Row],[date_created]],"HH:MM")</f>
        <v>11:07</v>
      </c>
      <c r="G340" t="s">
        <v>698</v>
      </c>
      <c r="H340" t="s">
        <v>699</v>
      </c>
      <c r="I340" t="s">
        <v>12</v>
      </c>
    </row>
    <row r="341" spans="1:9" x14ac:dyDescent="0.3">
      <c r="A341" t="s">
        <v>722</v>
      </c>
      <c r="B341">
        <v>5150</v>
      </c>
      <c r="C341" t="s">
        <v>723</v>
      </c>
      <c r="D341">
        <v>89900</v>
      </c>
      <c r="E341" s="2">
        <v>43972.924467592595</v>
      </c>
      <c r="F341" s="1" t="str">
        <f>+TEXT(meli[[#This Row],[date_created]],"HH:MM")</f>
        <v>22:11</v>
      </c>
      <c r="G341" t="s">
        <v>698</v>
      </c>
      <c r="H341" t="s">
        <v>699</v>
      </c>
      <c r="I341" t="s">
        <v>21</v>
      </c>
    </row>
    <row r="342" spans="1:9" x14ac:dyDescent="0.3">
      <c r="A342" t="s">
        <v>724</v>
      </c>
      <c r="B342">
        <v>5000</v>
      </c>
      <c r="C342" t="s">
        <v>725</v>
      </c>
      <c r="D342">
        <v>386914</v>
      </c>
      <c r="E342" s="2">
        <v>44593.359155092592</v>
      </c>
      <c r="F342" s="1" t="str">
        <f>+TEXT(meli[[#This Row],[date_created]],"HH:MM")</f>
        <v>08:37</v>
      </c>
      <c r="G342" t="s">
        <v>698</v>
      </c>
      <c r="H342" t="s">
        <v>699</v>
      </c>
      <c r="I342" t="s">
        <v>21</v>
      </c>
    </row>
    <row r="343" spans="1:9" x14ac:dyDescent="0.3">
      <c r="A343" t="s">
        <v>726</v>
      </c>
      <c r="B343">
        <v>5000</v>
      </c>
      <c r="C343" t="s">
        <v>727</v>
      </c>
      <c r="D343">
        <v>79806</v>
      </c>
      <c r="E343" s="2">
        <v>42488.567361111112</v>
      </c>
      <c r="F343" s="1" t="str">
        <f>+TEXT(meli[[#This Row],[date_created]],"HH:MM")</f>
        <v>13:37</v>
      </c>
      <c r="G343" t="s">
        <v>698</v>
      </c>
      <c r="H343" t="s">
        <v>699</v>
      </c>
      <c r="I343" t="s">
        <v>21</v>
      </c>
    </row>
    <row r="344" spans="1:9" x14ac:dyDescent="0.3">
      <c r="A344" t="s">
        <v>728</v>
      </c>
      <c r="B344">
        <v>4377</v>
      </c>
      <c r="C344" t="s">
        <v>729</v>
      </c>
      <c r="D344">
        <v>127370</v>
      </c>
      <c r="E344" s="2">
        <v>44909.103310185186</v>
      </c>
      <c r="F344" s="1" t="str">
        <f>+TEXT(meli[[#This Row],[date_created]],"HH:MM")</f>
        <v>02:28</v>
      </c>
      <c r="G344" t="s">
        <v>698</v>
      </c>
      <c r="H344" t="s">
        <v>699</v>
      </c>
      <c r="I344" t="s">
        <v>12</v>
      </c>
    </row>
    <row r="345" spans="1:9" x14ac:dyDescent="0.3">
      <c r="A345" t="s">
        <v>730</v>
      </c>
      <c r="B345">
        <v>2000</v>
      </c>
      <c r="C345" t="s">
        <v>731</v>
      </c>
      <c r="D345">
        <v>169990</v>
      </c>
      <c r="E345" s="2">
        <v>44573.468888888892</v>
      </c>
      <c r="F345" s="1" t="str">
        <f>+TEXT(meli[[#This Row],[date_created]],"HH:MM")</f>
        <v>11:15</v>
      </c>
      <c r="G345" t="s">
        <v>698</v>
      </c>
      <c r="H345" t="s">
        <v>699</v>
      </c>
      <c r="I345" t="s">
        <v>21</v>
      </c>
    </row>
    <row r="346" spans="1:9" x14ac:dyDescent="0.3">
      <c r="A346" t="s">
        <v>732</v>
      </c>
      <c r="B346">
        <v>500</v>
      </c>
      <c r="C346" t="s">
        <v>733</v>
      </c>
      <c r="D346">
        <v>2392391</v>
      </c>
      <c r="E346" s="2">
        <v>45063.517430555556</v>
      </c>
      <c r="F346" s="1" t="str">
        <f>+TEXT(meli[[#This Row],[date_created]],"HH:MM")</f>
        <v>12:25</v>
      </c>
      <c r="G346" t="s">
        <v>698</v>
      </c>
      <c r="H346" t="s">
        <v>699</v>
      </c>
      <c r="I346" t="s">
        <v>21</v>
      </c>
    </row>
    <row r="347" spans="1:9" x14ac:dyDescent="0.3">
      <c r="A347" t="s">
        <v>734</v>
      </c>
      <c r="B347">
        <v>13866</v>
      </c>
      <c r="C347" t="s">
        <v>735</v>
      </c>
      <c r="D347">
        <v>269000</v>
      </c>
      <c r="E347" s="2">
        <v>43872.428599537037</v>
      </c>
      <c r="F347" s="1" t="str">
        <f>+TEXT(meli[[#This Row],[date_created]],"HH:MM")</f>
        <v>10:17</v>
      </c>
      <c r="G347" t="s">
        <v>736</v>
      </c>
      <c r="H347" t="s">
        <v>737</v>
      </c>
      <c r="I347" t="s">
        <v>12</v>
      </c>
    </row>
    <row r="348" spans="1:9" x14ac:dyDescent="0.3">
      <c r="A348" t="s">
        <v>738</v>
      </c>
      <c r="B348">
        <v>13215</v>
      </c>
      <c r="C348" t="s">
        <v>739</v>
      </c>
      <c r="D348">
        <v>2089905</v>
      </c>
      <c r="E348" s="2">
        <v>43973.465115740742</v>
      </c>
      <c r="F348" s="1" t="str">
        <f>+TEXT(meli[[#This Row],[date_created]],"HH:MM")</f>
        <v>11:09</v>
      </c>
      <c r="G348" t="s">
        <v>736</v>
      </c>
      <c r="H348" t="s">
        <v>737</v>
      </c>
      <c r="I348" t="s">
        <v>21</v>
      </c>
    </row>
    <row r="349" spans="1:9" x14ac:dyDescent="0.3">
      <c r="A349" t="s">
        <v>740</v>
      </c>
      <c r="B349">
        <v>7582</v>
      </c>
      <c r="C349" t="s">
        <v>741</v>
      </c>
      <c r="D349">
        <v>639990</v>
      </c>
      <c r="E349" s="2">
        <v>44763.51730324074</v>
      </c>
      <c r="F349" s="1" t="str">
        <f>+TEXT(meli[[#This Row],[date_created]],"HH:MM")</f>
        <v>12:24</v>
      </c>
      <c r="G349" t="s">
        <v>736</v>
      </c>
      <c r="H349" t="s">
        <v>737</v>
      </c>
      <c r="I349" t="s">
        <v>12</v>
      </c>
    </row>
    <row r="350" spans="1:9" x14ac:dyDescent="0.3">
      <c r="A350" t="s">
        <v>742</v>
      </c>
      <c r="B350">
        <v>5200</v>
      </c>
      <c r="C350" t="s">
        <v>743</v>
      </c>
      <c r="D350">
        <v>19990</v>
      </c>
      <c r="E350" s="2">
        <v>44266.566655092596</v>
      </c>
      <c r="F350" s="1" t="str">
        <f>+TEXT(meli[[#This Row],[date_created]],"HH:MM")</f>
        <v>13:35</v>
      </c>
      <c r="G350" t="s">
        <v>736</v>
      </c>
      <c r="H350" t="s">
        <v>737</v>
      </c>
      <c r="I350" t="s">
        <v>21</v>
      </c>
    </row>
    <row r="351" spans="1:9" x14ac:dyDescent="0.3">
      <c r="A351" t="s">
        <v>744</v>
      </c>
      <c r="B351">
        <v>5000</v>
      </c>
      <c r="C351" t="s">
        <v>745</v>
      </c>
      <c r="D351">
        <v>254120</v>
      </c>
      <c r="E351" s="2">
        <v>43999.628865740742</v>
      </c>
      <c r="F351" s="1" t="str">
        <f>+TEXT(meli[[#This Row],[date_created]],"HH:MM")</f>
        <v>15:05</v>
      </c>
      <c r="G351" t="s">
        <v>736</v>
      </c>
      <c r="H351" t="s">
        <v>737</v>
      </c>
      <c r="I351" t="s">
        <v>21</v>
      </c>
    </row>
    <row r="352" spans="1:9" x14ac:dyDescent="0.3">
      <c r="A352" t="s">
        <v>746</v>
      </c>
      <c r="B352">
        <v>5000</v>
      </c>
      <c r="C352" t="s">
        <v>747</v>
      </c>
      <c r="D352">
        <v>55490</v>
      </c>
      <c r="E352" s="2">
        <v>44092.426458333335</v>
      </c>
      <c r="F352" s="1" t="str">
        <f>+TEXT(meli[[#This Row],[date_created]],"HH:MM")</f>
        <v>10:14</v>
      </c>
      <c r="G352" t="s">
        <v>736</v>
      </c>
      <c r="H352" t="s">
        <v>737</v>
      </c>
      <c r="I352" t="s">
        <v>21</v>
      </c>
    </row>
    <row r="353" spans="1:9" x14ac:dyDescent="0.3">
      <c r="A353" t="s">
        <v>748</v>
      </c>
      <c r="B353">
        <v>5000</v>
      </c>
      <c r="C353" t="s">
        <v>749</v>
      </c>
      <c r="D353">
        <v>1990</v>
      </c>
      <c r="E353" s="2">
        <v>43928.704479166663</v>
      </c>
      <c r="F353" s="1" t="str">
        <f>+TEXT(meli[[#This Row],[date_created]],"HH:MM")</f>
        <v>16:54</v>
      </c>
      <c r="G353" t="s">
        <v>736</v>
      </c>
      <c r="H353" t="s">
        <v>737</v>
      </c>
      <c r="I353" t="s">
        <v>21</v>
      </c>
    </row>
    <row r="354" spans="1:9" x14ac:dyDescent="0.3">
      <c r="A354" t="s">
        <v>750</v>
      </c>
      <c r="B354">
        <v>5000</v>
      </c>
      <c r="C354" t="s">
        <v>751</v>
      </c>
      <c r="D354">
        <v>649990</v>
      </c>
      <c r="E354" s="2">
        <v>42593.743587962963</v>
      </c>
      <c r="F354" s="1" t="str">
        <f>+TEXT(meli[[#This Row],[date_created]],"HH:MM")</f>
        <v>17:50</v>
      </c>
      <c r="G354" t="s">
        <v>736</v>
      </c>
      <c r="H354" t="s">
        <v>737</v>
      </c>
      <c r="I354" t="s">
        <v>21</v>
      </c>
    </row>
    <row r="355" spans="1:9" x14ac:dyDescent="0.3">
      <c r="A355" t="s">
        <v>752</v>
      </c>
      <c r="B355">
        <v>2926</v>
      </c>
      <c r="C355" t="s">
        <v>753</v>
      </c>
      <c r="D355">
        <v>259000</v>
      </c>
      <c r="E355" s="2">
        <v>44993.041944444441</v>
      </c>
      <c r="F355" s="1" t="str">
        <f>+TEXT(meli[[#This Row],[date_created]],"HH:MM")</f>
        <v>01:00</v>
      </c>
      <c r="G355" t="s">
        <v>736</v>
      </c>
      <c r="H355" t="s">
        <v>737</v>
      </c>
      <c r="I355" t="s">
        <v>21</v>
      </c>
    </row>
    <row r="356" spans="1:9" x14ac:dyDescent="0.3">
      <c r="A356" t="s">
        <v>754</v>
      </c>
      <c r="B356">
        <v>2775</v>
      </c>
      <c r="C356" t="s">
        <v>755</v>
      </c>
      <c r="D356">
        <v>217644</v>
      </c>
      <c r="E356" s="2">
        <v>44939.378344907411</v>
      </c>
      <c r="F356" s="1" t="str">
        <f>+TEXT(meli[[#This Row],[date_created]],"HH:MM")</f>
        <v>09:04</v>
      </c>
      <c r="G356" t="s">
        <v>736</v>
      </c>
      <c r="H356" t="s">
        <v>737</v>
      </c>
      <c r="I356" t="s">
        <v>21</v>
      </c>
    </row>
    <row r="357" spans="1:9" x14ac:dyDescent="0.3">
      <c r="A357" t="s">
        <v>756</v>
      </c>
      <c r="B357">
        <v>1985</v>
      </c>
      <c r="C357" t="s">
        <v>757</v>
      </c>
      <c r="D357">
        <v>229000</v>
      </c>
      <c r="E357" s="2">
        <v>44991.700949074075</v>
      </c>
      <c r="F357" s="1" t="str">
        <f>+TEXT(meli[[#This Row],[date_created]],"HH:MM")</f>
        <v>16:49</v>
      </c>
      <c r="G357" t="s">
        <v>736</v>
      </c>
      <c r="H357" t="s">
        <v>737</v>
      </c>
      <c r="I357" t="s">
        <v>21</v>
      </c>
    </row>
    <row r="358" spans="1:9" x14ac:dyDescent="0.3">
      <c r="A358" t="s">
        <v>758</v>
      </c>
      <c r="B358">
        <v>1702</v>
      </c>
      <c r="C358" t="s">
        <v>759</v>
      </c>
      <c r="D358">
        <v>41000</v>
      </c>
      <c r="E358" s="2">
        <v>43957.418113425927</v>
      </c>
      <c r="F358" s="1" t="str">
        <f>+TEXT(meli[[#This Row],[date_created]],"HH:MM")</f>
        <v>10:02</v>
      </c>
      <c r="G358" t="s">
        <v>736</v>
      </c>
      <c r="H358" t="s">
        <v>737</v>
      </c>
      <c r="I358" t="s">
        <v>21</v>
      </c>
    </row>
    <row r="359" spans="1:9" x14ac:dyDescent="0.3">
      <c r="A359" t="s">
        <v>760</v>
      </c>
      <c r="B359">
        <v>500</v>
      </c>
      <c r="C359" t="s">
        <v>761</v>
      </c>
      <c r="D359">
        <v>84990</v>
      </c>
      <c r="E359" s="2">
        <v>44201.76599537037</v>
      </c>
      <c r="F359" s="1" t="str">
        <f>+TEXT(meli[[#This Row],[date_created]],"HH:MM")</f>
        <v>18:23</v>
      </c>
      <c r="G359" t="s">
        <v>736</v>
      </c>
      <c r="H359" t="s">
        <v>737</v>
      </c>
      <c r="I359" t="s">
        <v>21</v>
      </c>
    </row>
    <row r="360" spans="1:9" x14ac:dyDescent="0.3">
      <c r="A360" t="s">
        <v>762</v>
      </c>
      <c r="B360">
        <v>500</v>
      </c>
      <c r="C360" t="s">
        <v>763</v>
      </c>
      <c r="D360">
        <v>29990</v>
      </c>
      <c r="E360" s="2">
        <v>45005.536643518521</v>
      </c>
      <c r="F360" s="1" t="str">
        <f>+TEXT(meli[[#This Row],[date_created]],"HH:MM")</f>
        <v>12:52</v>
      </c>
      <c r="G360" t="s">
        <v>736</v>
      </c>
      <c r="H360" t="s">
        <v>737</v>
      </c>
      <c r="I360" t="s">
        <v>21</v>
      </c>
    </row>
    <row r="361" spans="1:9" x14ac:dyDescent="0.3">
      <c r="A361" t="s">
        <v>764</v>
      </c>
      <c r="B361">
        <v>500</v>
      </c>
      <c r="C361" t="s">
        <v>765</v>
      </c>
      <c r="D361">
        <v>38630</v>
      </c>
      <c r="E361" s="2">
        <v>44669.546956018516</v>
      </c>
      <c r="F361" s="1" t="str">
        <f>+TEXT(meli[[#This Row],[date_created]],"HH:MM")</f>
        <v>13:07</v>
      </c>
      <c r="G361" t="s">
        <v>736</v>
      </c>
      <c r="H361" t="s">
        <v>737</v>
      </c>
      <c r="I361" t="s">
        <v>21</v>
      </c>
    </row>
    <row r="362" spans="1:9" x14ac:dyDescent="0.3">
      <c r="A362" t="s">
        <v>766</v>
      </c>
      <c r="B362">
        <v>500</v>
      </c>
      <c r="C362" t="s">
        <v>767</v>
      </c>
      <c r="D362">
        <v>49990</v>
      </c>
      <c r="E362" s="2">
        <v>44617.654039351852</v>
      </c>
      <c r="F362" s="1" t="str">
        <f>+TEXT(meli[[#This Row],[date_created]],"HH:MM")</f>
        <v>15:41</v>
      </c>
      <c r="G362" t="s">
        <v>736</v>
      </c>
      <c r="H362" t="s">
        <v>737</v>
      </c>
      <c r="I362" t="s">
        <v>21</v>
      </c>
    </row>
    <row r="363" spans="1:9" x14ac:dyDescent="0.3">
      <c r="A363" t="s">
        <v>768</v>
      </c>
      <c r="B363">
        <v>500</v>
      </c>
      <c r="C363" t="s">
        <v>769</v>
      </c>
      <c r="D363">
        <v>527750</v>
      </c>
      <c r="E363" s="2">
        <v>44814.790636574071</v>
      </c>
      <c r="F363" s="1" t="str">
        <f>+TEXT(meli[[#This Row],[date_created]],"HH:MM")</f>
        <v>18:58</v>
      </c>
      <c r="G363" t="s">
        <v>736</v>
      </c>
      <c r="H363" t="s">
        <v>737</v>
      </c>
      <c r="I363" t="s">
        <v>21</v>
      </c>
    </row>
    <row r="364" spans="1:9" x14ac:dyDescent="0.3">
      <c r="A364" t="s">
        <v>770</v>
      </c>
      <c r="B364">
        <v>500</v>
      </c>
      <c r="C364" t="s">
        <v>771</v>
      </c>
      <c r="D364">
        <v>43380</v>
      </c>
      <c r="E364" s="2">
        <v>43999.61582175926</v>
      </c>
      <c r="F364" s="1" t="str">
        <f>+TEXT(meli[[#This Row],[date_created]],"HH:MM")</f>
        <v>14:46</v>
      </c>
      <c r="G364" t="s">
        <v>736</v>
      </c>
      <c r="H364" t="s">
        <v>737</v>
      </c>
      <c r="I364" t="s">
        <v>21</v>
      </c>
    </row>
    <row r="365" spans="1:9" x14ac:dyDescent="0.3">
      <c r="A365" t="s">
        <v>772</v>
      </c>
      <c r="B365">
        <v>250</v>
      </c>
      <c r="C365" t="s">
        <v>773</v>
      </c>
      <c r="D365">
        <v>2474925</v>
      </c>
      <c r="E365" s="2">
        <v>45132.566053240742</v>
      </c>
      <c r="F365" s="1" t="str">
        <f>+TEXT(meli[[#This Row],[date_created]],"HH:MM")</f>
        <v>13:35</v>
      </c>
      <c r="G365" t="s">
        <v>736</v>
      </c>
      <c r="H365" t="s">
        <v>737</v>
      </c>
      <c r="I365" t="s">
        <v>21</v>
      </c>
    </row>
    <row r="366" spans="1:9" x14ac:dyDescent="0.3">
      <c r="A366" t="s">
        <v>774</v>
      </c>
      <c r="B366">
        <v>13313</v>
      </c>
      <c r="C366" t="s">
        <v>775</v>
      </c>
      <c r="D366">
        <v>679685</v>
      </c>
      <c r="E366" s="2">
        <v>44966.862268518518</v>
      </c>
      <c r="F366" s="1" t="str">
        <f>+TEXT(meli[[#This Row],[date_created]],"HH:MM")</f>
        <v>20:41</v>
      </c>
      <c r="G366" t="s">
        <v>776</v>
      </c>
      <c r="H366" t="s">
        <v>777</v>
      </c>
      <c r="I366" t="s">
        <v>12</v>
      </c>
    </row>
    <row r="367" spans="1:9" x14ac:dyDescent="0.3">
      <c r="A367" t="s">
        <v>778</v>
      </c>
      <c r="B367">
        <v>6025</v>
      </c>
      <c r="C367" t="s">
        <v>779</v>
      </c>
      <c r="D367">
        <v>749999</v>
      </c>
      <c r="E367" s="2">
        <v>43088.783761574072</v>
      </c>
      <c r="F367" s="1" t="str">
        <f>+TEXT(meli[[#This Row],[date_created]],"HH:MM")</f>
        <v>18:48</v>
      </c>
      <c r="G367" t="s">
        <v>776</v>
      </c>
      <c r="H367" t="s">
        <v>777</v>
      </c>
      <c r="I367" t="s">
        <v>21</v>
      </c>
    </row>
    <row r="368" spans="1:9" x14ac:dyDescent="0.3">
      <c r="A368" t="s">
        <v>780</v>
      </c>
      <c r="B368">
        <v>5726</v>
      </c>
      <c r="C368" t="s">
        <v>781</v>
      </c>
      <c r="D368">
        <v>724000</v>
      </c>
      <c r="E368" s="2">
        <v>44187.551724537036</v>
      </c>
      <c r="F368" s="1" t="str">
        <f>+TEXT(meli[[#This Row],[date_created]],"HH:MM")</f>
        <v>13:14</v>
      </c>
      <c r="G368" t="s">
        <v>776</v>
      </c>
      <c r="H368" t="s">
        <v>777</v>
      </c>
      <c r="I368" t="s">
        <v>12</v>
      </c>
    </row>
    <row r="369" spans="1:9" x14ac:dyDescent="0.3">
      <c r="A369" t="s">
        <v>782</v>
      </c>
      <c r="B369">
        <v>5642</v>
      </c>
      <c r="C369" t="s">
        <v>783</v>
      </c>
      <c r="D369">
        <v>64600</v>
      </c>
      <c r="E369" s="2">
        <v>45015.359270833331</v>
      </c>
      <c r="F369" s="1" t="str">
        <f>+TEXT(meli[[#This Row],[date_created]],"HH:MM")</f>
        <v>08:37</v>
      </c>
      <c r="G369" t="s">
        <v>776</v>
      </c>
      <c r="H369" t="s">
        <v>777</v>
      </c>
      <c r="I369" t="s">
        <v>12</v>
      </c>
    </row>
    <row r="370" spans="1:9" x14ac:dyDescent="0.3">
      <c r="A370" t="s">
        <v>784</v>
      </c>
      <c r="B370">
        <v>4500</v>
      </c>
      <c r="C370" t="s">
        <v>785</v>
      </c>
      <c r="D370">
        <v>159790</v>
      </c>
      <c r="E370" s="2">
        <v>43634.746539351851</v>
      </c>
      <c r="F370" s="1" t="str">
        <f>+TEXT(meli[[#This Row],[date_created]],"HH:MM")</f>
        <v>17:55</v>
      </c>
      <c r="G370" t="s">
        <v>776</v>
      </c>
      <c r="H370" t="s">
        <v>777</v>
      </c>
      <c r="I370" t="s">
        <v>21</v>
      </c>
    </row>
    <row r="371" spans="1:9" x14ac:dyDescent="0.3">
      <c r="A371" t="s">
        <v>786</v>
      </c>
      <c r="B371">
        <v>4001</v>
      </c>
      <c r="C371" t="s">
        <v>787</v>
      </c>
      <c r="D371">
        <v>41710</v>
      </c>
      <c r="E371" s="2">
        <v>44957.744537037041</v>
      </c>
      <c r="F371" s="1" t="str">
        <f>+TEXT(meli[[#This Row],[date_created]],"HH:MM")</f>
        <v>17:52</v>
      </c>
      <c r="G371" t="s">
        <v>776</v>
      </c>
      <c r="H371" t="s">
        <v>777</v>
      </c>
      <c r="I371" t="s">
        <v>12</v>
      </c>
    </row>
    <row r="372" spans="1:9" x14ac:dyDescent="0.3">
      <c r="A372" t="s">
        <v>788</v>
      </c>
      <c r="B372">
        <v>3444</v>
      </c>
      <c r="C372" t="s">
        <v>789</v>
      </c>
      <c r="D372">
        <v>250660</v>
      </c>
      <c r="E372" s="2">
        <v>44396.635983796295</v>
      </c>
      <c r="F372" s="1" t="str">
        <f>+TEXT(meli[[#This Row],[date_created]],"HH:MM")</f>
        <v>15:15</v>
      </c>
      <c r="G372" t="s">
        <v>776</v>
      </c>
      <c r="H372" t="s">
        <v>777</v>
      </c>
      <c r="I372" t="s">
        <v>12</v>
      </c>
    </row>
    <row r="373" spans="1:9" x14ac:dyDescent="0.3">
      <c r="A373" t="s">
        <v>790</v>
      </c>
      <c r="B373">
        <v>2120</v>
      </c>
      <c r="C373" t="s">
        <v>791</v>
      </c>
      <c r="D373">
        <v>529990</v>
      </c>
      <c r="E373" s="2">
        <v>44551.793530092589</v>
      </c>
      <c r="F373" s="1" t="str">
        <f>+TEXT(meli[[#This Row],[date_created]],"HH:MM")</f>
        <v>19:02</v>
      </c>
      <c r="G373" t="s">
        <v>776</v>
      </c>
      <c r="H373" t="s">
        <v>777</v>
      </c>
      <c r="I373" t="s">
        <v>12</v>
      </c>
    </row>
    <row r="374" spans="1:9" x14ac:dyDescent="0.3">
      <c r="A374" t="s">
        <v>792</v>
      </c>
      <c r="B374">
        <v>2047</v>
      </c>
      <c r="C374" t="s">
        <v>793</v>
      </c>
      <c r="D374">
        <v>382097</v>
      </c>
      <c r="E374" s="2">
        <v>44964.865300925929</v>
      </c>
      <c r="F374" s="1" t="str">
        <f>+TEXT(meli[[#This Row],[date_created]],"HH:MM")</f>
        <v>20:46</v>
      </c>
      <c r="G374" t="s">
        <v>776</v>
      </c>
      <c r="H374" t="s">
        <v>777</v>
      </c>
      <c r="I374" t="s">
        <v>12</v>
      </c>
    </row>
    <row r="375" spans="1:9" x14ac:dyDescent="0.3">
      <c r="A375" t="s">
        <v>794</v>
      </c>
      <c r="B375">
        <v>1250</v>
      </c>
      <c r="C375" t="s">
        <v>795</v>
      </c>
      <c r="D375">
        <v>1911077</v>
      </c>
      <c r="E375" s="2">
        <v>42979.64875</v>
      </c>
      <c r="F375" s="1" t="str">
        <f>+TEXT(meli[[#This Row],[date_created]],"HH:MM")</f>
        <v>15:34</v>
      </c>
      <c r="G375" t="s">
        <v>776</v>
      </c>
      <c r="H375" t="s">
        <v>777</v>
      </c>
      <c r="I375" t="s">
        <v>21</v>
      </c>
    </row>
    <row r="376" spans="1:9" x14ac:dyDescent="0.3">
      <c r="A376" t="s">
        <v>796</v>
      </c>
      <c r="B376">
        <v>1105</v>
      </c>
      <c r="C376" t="s">
        <v>797</v>
      </c>
      <c r="D376">
        <v>341990</v>
      </c>
      <c r="E376" s="2">
        <v>42550.831030092595</v>
      </c>
      <c r="F376" s="1" t="str">
        <f>+TEXT(meli[[#This Row],[date_created]],"HH:MM")</f>
        <v>19:56</v>
      </c>
      <c r="G376" t="s">
        <v>776</v>
      </c>
      <c r="H376" t="s">
        <v>777</v>
      </c>
      <c r="I376" t="s">
        <v>21</v>
      </c>
    </row>
    <row r="377" spans="1:9" x14ac:dyDescent="0.3">
      <c r="A377" t="s">
        <v>798</v>
      </c>
      <c r="B377">
        <v>1000</v>
      </c>
      <c r="C377" t="s">
        <v>799</v>
      </c>
      <c r="D377">
        <v>25990</v>
      </c>
      <c r="E377" s="2">
        <v>44533.829502314817</v>
      </c>
      <c r="F377" s="1" t="str">
        <f>+TEXT(meli[[#This Row],[date_created]],"HH:MM")</f>
        <v>19:54</v>
      </c>
      <c r="G377" t="s">
        <v>776</v>
      </c>
      <c r="H377" t="s">
        <v>777</v>
      </c>
      <c r="I377" t="s">
        <v>21</v>
      </c>
    </row>
    <row r="378" spans="1:9" x14ac:dyDescent="0.3">
      <c r="A378" t="s">
        <v>800</v>
      </c>
      <c r="B378">
        <v>533</v>
      </c>
      <c r="C378" t="s">
        <v>801</v>
      </c>
      <c r="D378">
        <v>9241059</v>
      </c>
      <c r="E378" s="2">
        <v>45002.631249999999</v>
      </c>
      <c r="F378" s="1" t="str">
        <f>+TEXT(meli[[#This Row],[date_created]],"HH:MM")</f>
        <v>15:09</v>
      </c>
      <c r="G378" t="s">
        <v>776</v>
      </c>
      <c r="H378" t="s">
        <v>777</v>
      </c>
      <c r="I378" t="s">
        <v>12</v>
      </c>
    </row>
    <row r="379" spans="1:9" x14ac:dyDescent="0.3">
      <c r="A379" t="s">
        <v>802</v>
      </c>
      <c r="B379">
        <v>507</v>
      </c>
      <c r="C379" t="s">
        <v>803</v>
      </c>
      <c r="D379">
        <v>859990</v>
      </c>
      <c r="E379" s="2">
        <v>45036.458969907406</v>
      </c>
      <c r="F379" s="1" t="str">
        <f>+TEXT(meli[[#This Row],[date_created]],"HH:MM")</f>
        <v>11:00</v>
      </c>
      <c r="G379" t="s">
        <v>776</v>
      </c>
      <c r="H379" t="s">
        <v>777</v>
      </c>
      <c r="I379" t="s">
        <v>12</v>
      </c>
    </row>
    <row r="380" spans="1:9" x14ac:dyDescent="0.3">
      <c r="A380" t="s">
        <v>804</v>
      </c>
      <c r="B380">
        <v>500</v>
      </c>
      <c r="C380" t="s">
        <v>805</v>
      </c>
      <c r="D380">
        <v>115080</v>
      </c>
      <c r="E380" s="2">
        <v>44035.458449074074</v>
      </c>
      <c r="F380" s="1" t="str">
        <f>+TEXT(meli[[#This Row],[date_created]],"HH:MM")</f>
        <v>11:00</v>
      </c>
      <c r="G380" t="s">
        <v>776</v>
      </c>
      <c r="H380" t="s">
        <v>777</v>
      </c>
      <c r="I380" t="s">
        <v>21</v>
      </c>
    </row>
    <row r="381" spans="1:9" x14ac:dyDescent="0.3">
      <c r="A381" t="s">
        <v>806</v>
      </c>
      <c r="B381">
        <v>500</v>
      </c>
      <c r="C381" t="s">
        <v>807</v>
      </c>
      <c r="D381">
        <v>76900</v>
      </c>
      <c r="E381" s="2">
        <v>43263.71298611111</v>
      </c>
      <c r="F381" s="1" t="str">
        <f>+TEXT(meli[[#This Row],[date_created]],"HH:MM")</f>
        <v>17:06</v>
      </c>
      <c r="G381" t="s">
        <v>776</v>
      </c>
      <c r="H381" t="s">
        <v>777</v>
      </c>
      <c r="I381" t="s">
        <v>21</v>
      </c>
    </row>
    <row r="382" spans="1:9" x14ac:dyDescent="0.3">
      <c r="A382" t="s">
        <v>808</v>
      </c>
      <c r="B382">
        <v>500</v>
      </c>
      <c r="C382" t="s">
        <v>809</v>
      </c>
      <c r="D382">
        <v>12160</v>
      </c>
      <c r="E382" s="2">
        <v>44170.605624999997</v>
      </c>
      <c r="F382" s="1" t="str">
        <f>+TEXT(meli[[#This Row],[date_created]],"HH:MM")</f>
        <v>14:32</v>
      </c>
      <c r="G382" t="s">
        <v>776</v>
      </c>
      <c r="H382" t="s">
        <v>777</v>
      </c>
      <c r="I382" t="s">
        <v>21</v>
      </c>
    </row>
    <row r="383" spans="1:9" x14ac:dyDescent="0.3">
      <c r="A383" t="s">
        <v>810</v>
      </c>
      <c r="B383">
        <v>500</v>
      </c>
      <c r="C383" t="s">
        <v>811</v>
      </c>
      <c r="D383">
        <v>39900</v>
      </c>
      <c r="E383" s="2">
        <v>43595.568981481483</v>
      </c>
      <c r="F383" s="1" t="str">
        <f>+TEXT(meli[[#This Row],[date_created]],"HH:MM")</f>
        <v>13:39</v>
      </c>
      <c r="G383" t="s">
        <v>776</v>
      </c>
      <c r="H383" t="s">
        <v>777</v>
      </c>
      <c r="I383" t="s">
        <v>21</v>
      </c>
    </row>
    <row r="384" spans="1:9" x14ac:dyDescent="0.3">
      <c r="A384" t="s">
        <v>812</v>
      </c>
      <c r="B384">
        <v>500</v>
      </c>
      <c r="C384" t="s">
        <v>813</v>
      </c>
      <c r="D384">
        <v>513176</v>
      </c>
      <c r="E384" s="2">
        <v>43545.452303240738</v>
      </c>
      <c r="F384" s="1" t="str">
        <f>+TEXT(meli[[#This Row],[date_created]],"HH:MM")</f>
        <v>10:51</v>
      </c>
      <c r="G384" t="s">
        <v>776</v>
      </c>
      <c r="H384" t="s">
        <v>777</v>
      </c>
      <c r="I384" t="s">
        <v>21</v>
      </c>
    </row>
    <row r="385" spans="1:9" x14ac:dyDescent="0.3">
      <c r="A385" t="s">
        <v>814</v>
      </c>
      <c r="B385">
        <v>29546</v>
      </c>
      <c r="C385" t="s">
        <v>815</v>
      </c>
      <c r="D385">
        <v>3587672</v>
      </c>
      <c r="E385" s="2">
        <v>44237.72991898148</v>
      </c>
      <c r="F385" s="1" t="str">
        <f>+TEXT(meli[[#This Row],[date_created]],"HH:MM")</f>
        <v>17:31</v>
      </c>
      <c r="G385" t="s">
        <v>816</v>
      </c>
      <c r="H385" t="s">
        <v>817</v>
      </c>
      <c r="I385" t="s">
        <v>12</v>
      </c>
    </row>
    <row r="386" spans="1:9" x14ac:dyDescent="0.3">
      <c r="A386" t="s">
        <v>818</v>
      </c>
      <c r="B386">
        <v>18254</v>
      </c>
      <c r="C386" t="s">
        <v>819</v>
      </c>
      <c r="D386">
        <v>2069885</v>
      </c>
      <c r="E386" s="2">
        <v>44208.592627314814</v>
      </c>
      <c r="F386" s="1" t="str">
        <f>+TEXT(meli[[#This Row],[date_created]],"HH:MM")</f>
        <v>14:13</v>
      </c>
      <c r="G386" t="s">
        <v>816</v>
      </c>
      <c r="H386" t="s">
        <v>817</v>
      </c>
      <c r="I386" t="s">
        <v>12</v>
      </c>
    </row>
    <row r="387" spans="1:9" x14ac:dyDescent="0.3">
      <c r="A387" t="s">
        <v>820</v>
      </c>
      <c r="B387">
        <v>5700</v>
      </c>
      <c r="C387" t="s">
        <v>821</v>
      </c>
      <c r="D387">
        <v>54990</v>
      </c>
      <c r="E387" s="2">
        <v>44043.479837962965</v>
      </c>
      <c r="F387" s="1" t="str">
        <f>+TEXT(meli[[#This Row],[date_created]],"HH:MM")</f>
        <v>11:30</v>
      </c>
      <c r="G387" t="s">
        <v>816</v>
      </c>
      <c r="H387" t="s">
        <v>817</v>
      </c>
      <c r="I387" t="s">
        <v>21</v>
      </c>
    </row>
    <row r="388" spans="1:9" x14ac:dyDescent="0.3">
      <c r="A388" t="s">
        <v>822</v>
      </c>
      <c r="B388">
        <v>5000</v>
      </c>
      <c r="C388" t="s">
        <v>823</v>
      </c>
      <c r="D388">
        <v>26990</v>
      </c>
      <c r="E388" s="2">
        <v>44217.53224537037</v>
      </c>
      <c r="F388" s="1" t="str">
        <f>+TEXT(meli[[#This Row],[date_created]],"HH:MM")</f>
        <v>12:46</v>
      </c>
      <c r="G388" t="s">
        <v>816</v>
      </c>
      <c r="H388" t="s">
        <v>817</v>
      </c>
      <c r="I388" t="s">
        <v>21</v>
      </c>
    </row>
    <row r="389" spans="1:9" x14ac:dyDescent="0.3">
      <c r="A389" t="s">
        <v>824</v>
      </c>
      <c r="B389">
        <v>4047</v>
      </c>
      <c r="C389" t="s">
        <v>825</v>
      </c>
      <c r="D389">
        <v>9405</v>
      </c>
      <c r="E389" s="2">
        <v>44395.661423611113</v>
      </c>
      <c r="F389" s="1" t="str">
        <f>+TEXT(meli[[#This Row],[date_created]],"HH:MM")</f>
        <v>15:52</v>
      </c>
      <c r="G389" t="s">
        <v>816</v>
      </c>
      <c r="H389" t="s">
        <v>817</v>
      </c>
      <c r="I389" t="s">
        <v>21</v>
      </c>
    </row>
    <row r="390" spans="1:9" x14ac:dyDescent="0.3">
      <c r="A390" t="s">
        <v>826</v>
      </c>
      <c r="B390">
        <v>2975</v>
      </c>
      <c r="C390" t="s">
        <v>827</v>
      </c>
      <c r="D390">
        <v>19990</v>
      </c>
      <c r="E390" s="2">
        <v>44745.593634259261</v>
      </c>
      <c r="F390" s="1" t="str">
        <f>+TEXT(meli[[#This Row],[date_created]],"HH:MM")</f>
        <v>14:14</v>
      </c>
      <c r="G390" t="s">
        <v>816</v>
      </c>
      <c r="H390" t="s">
        <v>817</v>
      </c>
      <c r="I390" t="s">
        <v>21</v>
      </c>
    </row>
    <row r="391" spans="1:9" x14ac:dyDescent="0.3">
      <c r="A391" t="s">
        <v>828</v>
      </c>
      <c r="B391">
        <v>2742</v>
      </c>
      <c r="C391" t="s">
        <v>829</v>
      </c>
      <c r="D391">
        <v>66990</v>
      </c>
      <c r="E391" s="2">
        <v>44449.69427083333</v>
      </c>
      <c r="F391" s="1" t="str">
        <f>+TEXT(meli[[#This Row],[date_created]],"HH:MM")</f>
        <v>16:39</v>
      </c>
      <c r="G391" t="s">
        <v>816</v>
      </c>
      <c r="H391" t="s">
        <v>817</v>
      </c>
      <c r="I391" t="s">
        <v>12</v>
      </c>
    </row>
    <row r="392" spans="1:9" x14ac:dyDescent="0.3">
      <c r="A392" t="s">
        <v>830</v>
      </c>
      <c r="B392">
        <v>1500</v>
      </c>
      <c r="C392" t="s">
        <v>831</v>
      </c>
      <c r="D392">
        <v>295036</v>
      </c>
      <c r="E392" s="2">
        <v>44646.670983796299</v>
      </c>
      <c r="F392" s="1" t="str">
        <f>+TEXT(meli[[#This Row],[date_created]],"HH:MM")</f>
        <v>16:06</v>
      </c>
      <c r="G392" t="s">
        <v>816</v>
      </c>
      <c r="H392" t="s">
        <v>817</v>
      </c>
      <c r="I392" t="s">
        <v>21</v>
      </c>
    </row>
    <row r="393" spans="1:9" x14ac:dyDescent="0.3">
      <c r="A393" t="s">
        <v>832</v>
      </c>
      <c r="B393">
        <v>1432</v>
      </c>
      <c r="C393" t="s">
        <v>833</v>
      </c>
      <c r="D393">
        <v>83990</v>
      </c>
      <c r="E393" s="2">
        <v>44789.457789351851</v>
      </c>
      <c r="F393" s="1" t="str">
        <f>+TEXT(meli[[#This Row],[date_created]],"HH:MM")</f>
        <v>10:59</v>
      </c>
      <c r="G393" t="s">
        <v>816</v>
      </c>
      <c r="H393" t="s">
        <v>817</v>
      </c>
      <c r="I393" t="s">
        <v>12</v>
      </c>
    </row>
    <row r="394" spans="1:9" x14ac:dyDescent="0.3">
      <c r="A394" t="s">
        <v>834</v>
      </c>
      <c r="B394">
        <v>1380</v>
      </c>
      <c r="C394" t="s">
        <v>835</v>
      </c>
      <c r="D394">
        <v>22990</v>
      </c>
      <c r="E394" s="2">
        <v>44866.749814814815</v>
      </c>
      <c r="F394" s="1" t="str">
        <f>+TEXT(meli[[#This Row],[date_created]],"HH:MM")</f>
        <v>17:59</v>
      </c>
      <c r="G394" t="s">
        <v>816</v>
      </c>
      <c r="H394" t="s">
        <v>817</v>
      </c>
      <c r="I394" t="s">
        <v>21</v>
      </c>
    </row>
    <row r="395" spans="1:9" x14ac:dyDescent="0.3">
      <c r="A395" t="s">
        <v>836</v>
      </c>
      <c r="B395">
        <v>1362</v>
      </c>
      <c r="C395" t="s">
        <v>837</v>
      </c>
      <c r="D395">
        <v>36556</v>
      </c>
      <c r="E395" s="2">
        <v>44437.575266203705</v>
      </c>
      <c r="F395" s="1" t="str">
        <f>+TEXT(meli[[#This Row],[date_created]],"HH:MM")</f>
        <v>13:48</v>
      </c>
      <c r="G395" t="s">
        <v>816</v>
      </c>
      <c r="H395" t="s">
        <v>817</v>
      </c>
      <c r="I395" t="s">
        <v>21</v>
      </c>
    </row>
    <row r="396" spans="1:9" x14ac:dyDescent="0.3">
      <c r="A396" t="s">
        <v>838</v>
      </c>
      <c r="B396">
        <v>1075</v>
      </c>
      <c r="C396" t="s">
        <v>839</v>
      </c>
      <c r="D396">
        <v>249999</v>
      </c>
      <c r="E396" s="2">
        <v>44767.726030092592</v>
      </c>
      <c r="F396" s="1" t="str">
        <f>+TEXT(meli[[#This Row],[date_created]],"HH:MM")</f>
        <v>17:25</v>
      </c>
      <c r="G396" t="s">
        <v>816</v>
      </c>
      <c r="H396" t="s">
        <v>817</v>
      </c>
      <c r="I396" t="s">
        <v>21</v>
      </c>
    </row>
    <row r="397" spans="1:9" x14ac:dyDescent="0.3">
      <c r="A397" t="s">
        <v>840</v>
      </c>
      <c r="B397">
        <v>1004</v>
      </c>
      <c r="C397" t="s">
        <v>841</v>
      </c>
      <c r="D397">
        <v>32990</v>
      </c>
      <c r="E397" s="2">
        <v>44956.844895833332</v>
      </c>
      <c r="F397" s="1" t="str">
        <f>+TEXT(meli[[#This Row],[date_created]],"HH:MM")</f>
        <v>20:16</v>
      </c>
      <c r="G397" t="s">
        <v>816</v>
      </c>
      <c r="H397" t="s">
        <v>817</v>
      </c>
      <c r="I397" t="s">
        <v>21</v>
      </c>
    </row>
    <row r="398" spans="1:9" x14ac:dyDescent="0.3">
      <c r="A398" t="s">
        <v>842</v>
      </c>
      <c r="B398">
        <v>976</v>
      </c>
      <c r="C398" t="s">
        <v>843</v>
      </c>
      <c r="D398">
        <v>36556</v>
      </c>
      <c r="E398" s="2">
        <v>44437.599733796298</v>
      </c>
      <c r="F398" s="1" t="str">
        <f>+TEXT(meli[[#This Row],[date_created]],"HH:MM")</f>
        <v>14:23</v>
      </c>
      <c r="G398" t="s">
        <v>816</v>
      </c>
      <c r="H398" t="s">
        <v>817</v>
      </c>
      <c r="I398" t="s">
        <v>21</v>
      </c>
    </row>
    <row r="399" spans="1:9" x14ac:dyDescent="0.3">
      <c r="A399" t="s">
        <v>844</v>
      </c>
      <c r="B399">
        <v>803</v>
      </c>
      <c r="C399" t="s">
        <v>845</v>
      </c>
      <c r="D399">
        <v>23575</v>
      </c>
      <c r="E399" s="2">
        <v>44910.964201388888</v>
      </c>
      <c r="F399" s="1" t="str">
        <f>+TEXT(meli[[#This Row],[date_created]],"HH:MM")</f>
        <v>23:08</v>
      </c>
      <c r="G399" t="s">
        <v>816</v>
      </c>
      <c r="H399" t="s">
        <v>817</v>
      </c>
      <c r="I399" t="s">
        <v>21</v>
      </c>
    </row>
    <row r="400" spans="1:9" x14ac:dyDescent="0.3">
      <c r="A400" t="s">
        <v>846</v>
      </c>
      <c r="B400">
        <v>600</v>
      </c>
      <c r="C400" t="s">
        <v>847</v>
      </c>
      <c r="D400">
        <v>40593</v>
      </c>
      <c r="E400" s="2">
        <v>44909.901273148149</v>
      </c>
      <c r="F400" s="1" t="str">
        <f>+TEXT(meli[[#This Row],[date_created]],"HH:MM")</f>
        <v>21:37</v>
      </c>
      <c r="G400" t="s">
        <v>816</v>
      </c>
      <c r="H400" t="s">
        <v>817</v>
      </c>
      <c r="I400" t="s">
        <v>21</v>
      </c>
    </row>
    <row r="401" spans="1:9" x14ac:dyDescent="0.3">
      <c r="A401" t="s">
        <v>848</v>
      </c>
      <c r="B401">
        <v>500</v>
      </c>
      <c r="C401" t="s">
        <v>849</v>
      </c>
      <c r="D401">
        <v>59900</v>
      </c>
      <c r="E401" s="2">
        <v>44484.033553240741</v>
      </c>
      <c r="F401" s="1" t="str">
        <f>+TEXT(meli[[#This Row],[date_created]],"HH:MM")</f>
        <v>00:48</v>
      </c>
      <c r="G401" t="s">
        <v>816</v>
      </c>
      <c r="H401" t="s">
        <v>817</v>
      </c>
      <c r="I401" t="s">
        <v>21</v>
      </c>
    </row>
    <row r="402" spans="1:9" x14ac:dyDescent="0.3">
      <c r="A402" t="s">
        <v>850</v>
      </c>
      <c r="B402">
        <v>410</v>
      </c>
      <c r="C402" t="s">
        <v>851</v>
      </c>
      <c r="D402">
        <v>513658</v>
      </c>
      <c r="E402" s="2">
        <v>44754.495335648149</v>
      </c>
      <c r="F402" s="1" t="str">
        <f>+TEXT(meli[[#This Row],[date_created]],"HH:MM")</f>
        <v>11:53</v>
      </c>
      <c r="G402" t="s">
        <v>816</v>
      </c>
      <c r="H402" t="s">
        <v>817</v>
      </c>
      <c r="I402" t="s">
        <v>21</v>
      </c>
    </row>
    <row r="403" spans="1:9" x14ac:dyDescent="0.3">
      <c r="A403" t="s">
        <v>852</v>
      </c>
      <c r="B403">
        <v>385</v>
      </c>
      <c r="C403" t="s">
        <v>853</v>
      </c>
      <c r="D403">
        <v>9320</v>
      </c>
      <c r="E403" s="2">
        <v>44294.719456018516</v>
      </c>
      <c r="F403" s="1" t="str">
        <f>+TEXT(meli[[#This Row],[date_created]],"HH:MM")</f>
        <v>17:16</v>
      </c>
      <c r="G403" t="s">
        <v>816</v>
      </c>
      <c r="H403" t="s">
        <v>817</v>
      </c>
      <c r="I403" t="s">
        <v>21</v>
      </c>
    </row>
    <row r="404" spans="1:9" x14ac:dyDescent="0.3">
      <c r="A404" t="s">
        <v>854</v>
      </c>
      <c r="B404">
        <v>355</v>
      </c>
      <c r="C404" t="s">
        <v>855</v>
      </c>
      <c r="D404">
        <v>200123</v>
      </c>
      <c r="E404" s="2">
        <v>45113.463275462964</v>
      </c>
      <c r="F404" s="1" t="str">
        <f>+TEXT(meli[[#This Row],[date_created]],"HH:MM")</f>
        <v>11:07</v>
      </c>
      <c r="G404" t="s">
        <v>816</v>
      </c>
      <c r="H404" t="s">
        <v>817</v>
      </c>
      <c r="I404" t="s">
        <v>21</v>
      </c>
    </row>
    <row r="405" spans="1:9" x14ac:dyDescent="0.3">
      <c r="A405" t="s">
        <v>856</v>
      </c>
      <c r="B405">
        <v>37130</v>
      </c>
      <c r="C405" t="s">
        <v>857</v>
      </c>
      <c r="D405">
        <v>74490</v>
      </c>
      <c r="E405" s="2">
        <v>42929.701296296298</v>
      </c>
      <c r="F405" s="1" t="str">
        <f>+TEXT(meli[[#This Row],[date_created]],"HH:MM")</f>
        <v>16:49</v>
      </c>
      <c r="G405" t="s">
        <v>858</v>
      </c>
      <c r="H405" t="s">
        <v>859</v>
      </c>
      <c r="I405" t="s">
        <v>12</v>
      </c>
    </row>
    <row r="406" spans="1:9" x14ac:dyDescent="0.3">
      <c r="A406" t="s">
        <v>860</v>
      </c>
      <c r="B406">
        <v>19252</v>
      </c>
      <c r="C406" t="s">
        <v>861</v>
      </c>
      <c r="D406">
        <v>60030</v>
      </c>
      <c r="E406" s="2">
        <v>43446.537175925929</v>
      </c>
      <c r="F406" s="1" t="str">
        <f>+TEXT(meli[[#This Row],[date_created]],"HH:MM")</f>
        <v>12:53</v>
      </c>
      <c r="G406" t="s">
        <v>858</v>
      </c>
      <c r="H406" t="s">
        <v>859</v>
      </c>
      <c r="I406" t="s">
        <v>12</v>
      </c>
    </row>
    <row r="407" spans="1:9" x14ac:dyDescent="0.3">
      <c r="A407" t="s">
        <v>862</v>
      </c>
      <c r="B407">
        <v>17399</v>
      </c>
      <c r="C407" t="s">
        <v>863</v>
      </c>
      <c r="D407">
        <v>98990</v>
      </c>
      <c r="E407" s="2">
        <v>42929.579953703702</v>
      </c>
      <c r="F407" s="1" t="str">
        <f>+TEXT(meli[[#This Row],[date_created]],"HH:MM")</f>
        <v>13:55</v>
      </c>
      <c r="G407" t="s">
        <v>858</v>
      </c>
      <c r="H407" t="s">
        <v>859</v>
      </c>
      <c r="I407" t="s">
        <v>12</v>
      </c>
    </row>
    <row r="408" spans="1:9" x14ac:dyDescent="0.3">
      <c r="A408" t="s">
        <v>864</v>
      </c>
      <c r="B408">
        <v>16402</v>
      </c>
      <c r="C408" t="s">
        <v>865</v>
      </c>
      <c r="D408">
        <v>57950</v>
      </c>
      <c r="E408" s="2">
        <v>43446.537175925929</v>
      </c>
      <c r="F408" s="1" t="str">
        <f>+TEXT(meli[[#This Row],[date_created]],"HH:MM")</f>
        <v>12:53</v>
      </c>
      <c r="G408" t="s">
        <v>858</v>
      </c>
      <c r="H408" t="s">
        <v>859</v>
      </c>
      <c r="I408" t="s">
        <v>12</v>
      </c>
    </row>
    <row r="409" spans="1:9" x14ac:dyDescent="0.3">
      <c r="A409" t="s">
        <v>866</v>
      </c>
      <c r="B409">
        <v>13501</v>
      </c>
      <c r="C409" t="s">
        <v>867</v>
      </c>
      <c r="D409">
        <v>201800</v>
      </c>
      <c r="E409" s="2">
        <v>43123.729710648149</v>
      </c>
      <c r="F409" s="1" t="str">
        <f>+TEXT(meli[[#This Row],[date_created]],"HH:MM")</f>
        <v>17:30</v>
      </c>
      <c r="G409" t="s">
        <v>858</v>
      </c>
      <c r="H409" t="s">
        <v>859</v>
      </c>
      <c r="I409" t="s">
        <v>12</v>
      </c>
    </row>
    <row r="410" spans="1:9" x14ac:dyDescent="0.3">
      <c r="A410" t="s">
        <v>868</v>
      </c>
      <c r="B410">
        <v>11577</v>
      </c>
      <c r="C410" t="s">
        <v>869</v>
      </c>
      <c r="D410">
        <v>125000</v>
      </c>
      <c r="E410" s="2">
        <v>44313.7030787037</v>
      </c>
      <c r="F410" s="1" t="str">
        <f>+TEXT(meli[[#This Row],[date_created]],"HH:MM")</f>
        <v>16:52</v>
      </c>
      <c r="G410" t="s">
        <v>858</v>
      </c>
      <c r="H410" t="s">
        <v>859</v>
      </c>
      <c r="I410" t="s">
        <v>12</v>
      </c>
    </row>
    <row r="411" spans="1:9" x14ac:dyDescent="0.3">
      <c r="A411" t="s">
        <v>870</v>
      </c>
      <c r="B411">
        <v>11195</v>
      </c>
      <c r="C411" t="s">
        <v>871</v>
      </c>
      <c r="D411">
        <v>25990</v>
      </c>
      <c r="E411" s="2">
        <v>44083.755509259259</v>
      </c>
      <c r="F411" s="1" t="str">
        <f>+TEXT(meli[[#This Row],[date_created]],"HH:MM")</f>
        <v>18:07</v>
      </c>
      <c r="G411" t="s">
        <v>858</v>
      </c>
      <c r="H411" t="s">
        <v>859</v>
      </c>
      <c r="I411" t="s">
        <v>12</v>
      </c>
    </row>
    <row r="412" spans="1:9" x14ac:dyDescent="0.3">
      <c r="A412" t="s">
        <v>872</v>
      </c>
      <c r="B412">
        <v>11169</v>
      </c>
      <c r="C412" t="s">
        <v>873</v>
      </c>
      <c r="D412">
        <v>79170</v>
      </c>
      <c r="E412" s="2">
        <v>45079.098113425927</v>
      </c>
      <c r="F412" s="1" t="str">
        <f>+TEXT(meli[[#This Row],[date_created]],"HH:MM")</f>
        <v>02:21</v>
      </c>
      <c r="G412" t="s">
        <v>858</v>
      </c>
      <c r="H412" t="s">
        <v>859</v>
      </c>
      <c r="I412" t="s">
        <v>12</v>
      </c>
    </row>
    <row r="413" spans="1:9" x14ac:dyDescent="0.3">
      <c r="A413" t="s">
        <v>874</v>
      </c>
      <c r="B413">
        <v>11074</v>
      </c>
      <c r="C413" t="s">
        <v>875</v>
      </c>
      <c r="D413">
        <v>49300</v>
      </c>
      <c r="E413" s="2">
        <v>45071.568553240744</v>
      </c>
      <c r="F413" s="1" t="str">
        <f>+TEXT(meli[[#This Row],[date_created]],"HH:MM")</f>
        <v>13:38</v>
      </c>
      <c r="G413" t="s">
        <v>858</v>
      </c>
      <c r="H413" t="s">
        <v>859</v>
      </c>
      <c r="I413" t="s">
        <v>12</v>
      </c>
    </row>
    <row r="414" spans="1:9" x14ac:dyDescent="0.3">
      <c r="A414" t="s">
        <v>876</v>
      </c>
      <c r="B414">
        <v>9271</v>
      </c>
      <c r="C414" t="s">
        <v>877</v>
      </c>
      <c r="D414">
        <v>81700</v>
      </c>
      <c r="E414" s="2">
        <v>45075.402824074074</v>
      </c>
      <c r="F414" s="1" t="str">
        <f>+TEXT(meli[[#This Row],[date_created]],"HH:MM")</f>
        <v>09:40</v>
      </c>
      <c r="G414" t="s">
        <v>858</v>
      </c>
      <c r="H414" t="s">
        <v>859</v>
      </c>
      <c r="I414" t="s">
        <v>12</v>
      </c>
    </row>
    <row r="415" spans="1:9" x14ac:dyDescent="0.3">
      <c r="A415" t="s">
        <v>878</v>
      </c>
      <c r="B415">
        <v>9134</v>
      </c>
      <c r="C415" t="s">
        <v>879</v>
      </c>
      <c r="D415">
        <v>51920</v>
      </c>
      <c r="E415" s="2">
        <v>45071.568553240744</v>
      </c>
      <c r="F415" s="1" t="str">
        <f>+TEXT(meli[[#This Row],[date_created]],"HH:MM")</f>
        <v>13:38</v>
      </c>
      <c r="G415" t="s">
        <v>858</v>
      </c>
      <c r="H415" t="s">
        <v>859</v>
      </c>
      <c r="I415" t="s">
        <v>12</v>
      </c>
    </row>
    <row r="416" spans="1:9" x14ac:dyDescent="0.3">
      <c r="A416" t="s">
        <v>880</v>
      </c>
      <c r="B416">
        <v>5031</v>
      </c>
      <c r="C416" t="s">
        <v>881</v>
      </c>
      <c r="D416">
        <v>28700</v>
      </c>
      <c r="E416" s="2">
        <v>43935.118900462963</v>
      </c>
      <c r="F416" s="1" t="str">
        <f>+TEXT(meli[[#This Row],[date_created]],"HH:MM")</f>
        <v>02:51</v>
      </c>
      <c r="G416" t="s">
        <v>858</v>
      </c>
      <c r="H416" t="s">
        <v>859</v>
      </c>
      <c r="I416" t="s">
        <v>21</v>
      </c>
    </row>
    <row r="417" spans="1:9" x14ac:dyDescent="0.3">
      <c r="A417" t="s">
        <v>882</v>
      </c>
      <c r="B417">
        <v>1500</v>
      </c>
      <c r="C417" t="s">
        <v>883</v>
      </c>
      <c r="D417">
        <v>79900</v>
      </c>
      <c r="E417" s="2">
        <v>44811.64947916667</v>
      </c>
      <c r="F417" s="1" t="str">
        <f>+TEXT(meli[[#This Row],[date_created]],"HH:MM")</f>
        <v>15:35</v>
      </c>
      <c r="G417" t="s">
        <v>858</v>
      </c>
      <c r="H417" t="s">
        <v>859</v>
      </c>
      <c r="I417" t="s">
        <v>21</v>
      </c>
    </row>
    <row r="418" spans="1:9" x14ac:dyDescent="0.3">
      <c r="A418" t="s">
        <v>884</v>
      </c>
      <c r="B418">
        <v>1450</v>
      </c>
      <c r="C418" t="s">
        <v>885</v>
      </c>
      <c r="D418">
        <v>41300</v>
      </c>
      <c r="E418" s="2">
        <v>43469.756689814814</v>
      </c>
      <c r="F418" s="1" t="str">
        <f>+TEXT(meli[[#This Row],[date_created]],"HH:MM")</f>
        <v>18:09</v>
      </c>
      <c r="G418" t="s">
        <v>858</v>
      </c>
      <c r="H418" t="s">
        <v>859</v>
      </c>
      <c r="I418" t="s">
        <v>21</v>
      </c>
    </row>
    <row r="419" spans="1:9" x14ac:dyDescent="0.3">
      <c r="A419" t="s">
        <v>886</v>
      </c>
      <c r="B419">
        <v>1000</v>
      </c>
      <c r="C419" t="s">
        <v>887</v>
      </c>
      <c r="D419">
        <v>138000</v>
      </c>
      <c r="E419" s="2">
        <v>43904.685358796298</v>
      </c>
      <c r="F419" s="1" t="str">
        <f>+TEXT(meli[[#This Row],[date_created]],"HH:MM")</f>
        <v>16:26</v>
      </c>
      <c r="G419" t="s">
        <v>858</v>
      </c>
      <c r="H419" t="s">
        <v>859</v>
      </c>
      <c r="I419" t="s">
        <v>21</v>
      </c>
    </row>
    <row r="420" spans="1:9" x14ac:dyDescent="0.3">
      <c r="A420" t="s">
        <v>888</v>
      </c>
      <c r="B420">
        <v>500</v>
      </c>
      <c r="C420" t="s">
        <v>889</v>
      </c>
      <c r="D420">
        <v>159990</v>
      </c>
      <c r="E420" s="2">
        <v>44373.058530092596</v>
      </c>
      <c r="F420" s="1" t="str">
        <f>+TEXT(meli[[#This Row],[date_created]],"HH:MM")</f>
        <v>01:24</v>
      </c>
      <c r="G420" t="s">
        <v>858</v>
      </c>
      <c r="H420" t="s">
        <v>859</v>
      </c>
      <c r="I420" t="s">
        <v>21</v>
      </c>
    </row>
    <row r="421" spans="1:9" x14ac:dyDescent="0.3">
      <c r="A421" t="s">
        <v>890</v>
      </c>
      <c r="B421">
        <v>351</v>
      </c>
      <c r="C421" t="s">
        <v>891</v>
      </c>
      <c r="D421">
        <v>59990</v>
      </c>
      <c r="E421" s="2">
        <v>45070.998900462961</v>
      </c>
      <c r="F421" s="1" t="str">
        <f>+TEXT(meli[[#This Row],[date_created]],"HH:MM")</f>
        <v>23:58</v>
      </c>
      <c r="G421" t="s">
        <v>858</v>
      </c>
      <c r="H421" t="s">
        <v>859</v>
      </c>
      <c r="I421" t="s">
        <v>21</v>
      </c>
    </row>
    <row r="422" spans="1:9" x14ac:dyDescent="0.3">
      <c r="A422" t="s">
        <v>892</v>
      </c>
      <c r="B422">
        <v>47536</v>
      </c>
      <c r="C422" t="s">
        <v>893</v>
      </c>
      <c r="D422">
        <v>88000</v>
      </c>
      <c r="E422" s="2">
        <v>44848.603831018518</v>
      </c>
      <c r="F422" s="1" t="str">
        <f>+TEXT(meli[[#This Row],[date_created]],"HH:MM")</f>
        <v>14:29</v>
      </c>
      <c r="G422" t="s">
        <v>894</v>
      </c>
      <c r="H422" t="s">
        <v>895</v>
      </c>
      <c r="I422" t="s">
        <v>12</v>
      </c>
    </row>
    <row r="423" spans="1:9" x14ac:dyDescent="0.3">
      <c r="A423" t="s">
        <v>896</v>
      </c>
      <c r="B423">
        <v>19110</v>
      </c>
      <c r="C423" t="s">
        <v>897</v>
      </c>
      <c r="D423">
        <v>64980</v>
      </c>
      <c r="E423" s="2">
        <v>44874.920717592591</v>
      </c>
      <c r="F423" s="1" t="str">
        <f>+TEXT(meli[[#This Row],[date_created]],"HH:MM")</f>
        <v>22:05</v>
      </c>
      <c r="G423" t="s">
        <v>894</v>
      </c>
      <c r="H423" t="s">
        <v>895</v>
      </c>
      <c r="I423" t="s">
        <v>12</v>
      </c>
    </row>
    <row r="424" spans="1:9" x14ac:dyDescent="0.3">
      <c r="A424" t="s">
        <v>898</v>
      </c>
      <c r="B424">
        <v>5846</v>
      </c>
      <c r="C424" t="s">
        <v>899</v>
      </c>
      <c r="D424">
        <v>42000</v>
      </c>
      <c r="E424" s="2">
        <v>44896.777708333335</v>
      </c>
      <c r="F424" s="1" t="str">
        <f>+TEXT(meli[[#This Row],[date_created]],"HH:MM")</f>
        <v>18:39</v>
      </c>
      <c r="G424" t="s">
        <v>894</v>
      </c>
      <c r="H424" t="s">
        <v>895</v>
      </c>
      <c r="I424" t="s">
        <v>12</v>
      </c>
    </row>
    <row r="425" spans="1:9" x14ac:dyDescent="0.3">
      <c r="A425" t="s">
        <v>900</v>
      </c>
      <c r="B425">
        <v>5716</v>
      </c>
      <c r="C425" t="s">
        <v>901</v>
      </c>
      <c r="D425">
        <v>32200</v>
      </c>
      <c r="E425" s="2">
        <v>44991.807118055556</v>
      </c>
      <c r="F425" s="1" t="str">
        <f>+TEXT(meli[[#This Row],[date_created]],"HH:MM")</f>
        <v>19:22</v>
      </c>
      <c r="G425" t="s">
        <v>894</v>
      </c>
      <c r="H425" t="s">
        <v>895</v>
      </c>
      <c r="I425" t="s">
        <v>12</v>
      </c>
    </row>
    <row r="426" spans="1:9" x14ac:dyDescent="0.3">
      <c r="A426" t="s">
        <v>902</v>
      </c>
      <c r="B426">
        <v>3974</v>
      </c>
      <c r="C426" t="s">
        <v>903</v>
      </c>
      <c r="D426">
        <v>162000</v>
      </c>
      <c r="E426" s="2">
        <v>44895.790937500002</v>
      </c>
      <c r="F426" s="1" t="str">
        <f>+TEXT(meli[[#This Row],[date_created]],"HH:MM")</f>
        <v>18:58</v>
      </c>
      <c r="G426" t="s">
        <v>894</v>
      </c>
      <c r="H426" t="s">
        <v>895</v>
      </c>
      <c r="I426" t="s">
        <v>12</v>
      </c>
    </row>
    <row r="427" spans="1:9" x14ac:dyDescent="0.3">
      <c r="A427" t="s">
        <v>904</v>
      </c>
      <c r="B427">
        <v>3030</v>
      </c>
      <c r="C427" t="s">
        <v>905</v>
      </c>
      <c r="D427">
        <v>77990</v>
      </c>
      <c r="E427" s="2">
        <v>44985.80574074074</v>
      </c>
      <c r="F427" s="1" t="str">
        <f>+TEXT(meli[[#This Row],[date_created]],"HH:MM")</f>
        <v>19:20</v>
      </c>
      <c r="G427" t="s">
        <v>894</v>
      </c>
      <c r="H427" t="s">
        <v>895</v>
      </c>
      <c r="I427" t="s">
        <v>12</v>
      </c>
    </row>
    <row r="428" spans="1:9" x14ac:dyDescent="0.3">
      <c r="A428" t="s">
        <v>906</v>
      </c>
      <c r="B428">
        <v>3011</v>
      </c>
      <c r="C428" t="s">
        <v>907</v>
      </c>
      <c r="D428">
        <v>32300</v>
      </c>
      <c r="E428" s="2">
        <v>44994.879293981481</v>
      </c>
      <c r="F428" s="1" t="str">
        <f>+TEXT(meli[[#This Row],[date_created]],"HH:MM")</f>
        <v>21:06</v>
      </c>
      <c r="G428" t="s">
        <v>894</v>
      </c>
      <c r="H428" t="s">
        <v>895</v>
      </c>
      <c r="I428" t="s">
        <v>12</v>
      </c>
    </row>
    <row r="429" spans="1:9" x14ac:dyDescent="0.3">
      <c r="A429" t="s">
        <v>908</v>
      </c>
      <c r="B429">
        <v>2968</v>
      </c>
      <c r="C429" t="s">
        <v>909</v>
      </c>
      <c r="D429">
        <v>105000</v>
      </c>
      <c r="E429" s="2">
        <v>44991.391134259262</v>
      </c>
      <c r="F429" s="1" t="str">
        <f>+TEXT(meli[[#This Row],[date_created]],"HH:MM")</f>
        <v>09:23</v>
      </c>
      <c r="G429" t="s">
        <v>894</v>
      </c>
      <c r="H429" t="s">
        <v>895</v>
      </c>
      <c r="I429" t="s">
        <v>12</v>
      </c>
    </row>
    <row r="430" spans="1:9" x14ac:dyDescent="0.3">
      <c r="A430" t="s">
        <v>910</v>
      </c>
      <c r="B430">
        <v>2396</v>
      </c>
      <c r="C430" t="s">
        <v>911</v>
      </c>
      <c r="D430">
        <v>132050</v>
      </c>
      <c r="E430" s="2">
        <v>44874.758240740739</v>
      </c>
      <c r="F430" s="1" t="str">
        <f>+TEXT(meli[[#This Row],[date_created]],"HH:MM")</f>
        <v>18:11</v>
      </c>
      <c r="G430" t="s">
        <v>894</v>
      </c>
      <c r="H430" t="s">
        <v>895</v>
      </c>
      <c r="I430" t="s">
        <v>12</v>
      </c>
    </row>
    <row r="431" spans="1:9" x14ac:dyDescent="0.3">
      <c r="A431" t="s">
        <v>912</v>
      </c>
      <c r="B431">
        <v>2119</v>
      </c>
      <c r="C431" t="s">
        <v>913</v>
      </c>
      <c r="D431">
        <v>74700</v>
      </c>
      <c r="E431" s="2">
        <v>44985.805752314816</v>
      </c>
      <c r="F431" s="1" t="str">
        <f>+TEXT(meli[[#This Row],[date_created]],"HH:MM")</f>
        <v>19:20</v>
      </c>
      <c r="G431" t="s">
        <v>894</v>
      </c>
      <c r="H431" t="s">
        <v>895</v>
      </c>
      <c r="I431" t="s">
        <v>12</v>
      </c>
    </row>
    <row r="432" spans="1:9" x14ac:dyDescent="0.3">
      <c r="A432" t="s">
        <v>914</v>
      </c>
      <c r="B432">
        <v>1189</v>
      </c>
      <c r="C432" t="s">
        <v>915</v>
      </c>
      <c r="D432">
        <v>67500</v>
      </c>
      <c r="E432" s="2">
        <v>44985.805752314816</v>
      </c>
      <c r="F432" s="1" t="str">
        <f>+TEXT(meli[[#This Row],[date_created]],"HH:MM")</f>
        <v>19:20</v>
      </c>
      <c r="G432" t="s">
        <v>894</v>
      </c>
      <c r="H432" t="s">
        <v>895</v>
      </c>
      <c r="I432" t="s">
        <v>12</v>
      </c>
    </row>
    <row r="433" spans="1:9" x14ac:dyDescent="0.3">
      <c r="A433" t="s">
        <v>916</v>
      </c>
      <c r="B433">
        <v>1164</v>
      </c>
      <c r="C433" t="s">
        <v>917</v>
      </c>
      <c r="D433">
        <v>43700</v>
      </c>
      <c r="E433" s="2">
        <v>45033.490439814814</v>
      </c>
      <c r="F433" s="1" t="str">
        <f>+TEXT(meli[[#This Row],[date_created]],"HH:MM")</f>
        <v>11:46</v>
      </c>
      <c r="G433" t="s">
        <v>894</v>
      </c>
      <c r="H433" t="s">
        <v>895</v>
      </c>
      <c r="I433" t="s">
        <v>12</v>
      </c>
    </row>
    <row r="434" spans="1:9" x14ac:dyDescent="0.3">
      <c r="A434" t="s">
        <v>918</v>
      </c>
      <c r="B434">
        <v>1159</v>
      </c>
      <c r="C434" t="s">
        <v>919</v>
      </c>
      <c r="D434">
        <v>40000</v>
      </c>
      <c r="E434" s="2">
        <v>44957.626481481479</v>
      </c>
      <c r="F434" s="1" t="str">
        <f>+TEXT(meli[[#This Row],[date_created]],"HH:MM")</f>
        <v>15:02</v>
      </c>
      <c r="G434" t="s">
        <v>894</v>
      </c>
      <c r="H434" t="s">
        <v>895</v>
      </c>
      <c r="I434" t="s">
        <v>12</v>
      </c>
    </row>
    <row r="435" spans="1:9" x14ac:dyDescent="0.3">
      <c r="A435" t="s">
        <v>920</v>
      </c>
      <c r="B435">
        <v>755</v>
      </c>
      <c r="C435" t="s">
        <v>921</v>
      </c>
      <c r="D435">
        <v>25000</v>
      </c>
      <c r="E435" s="2">
        <v>44868.600740740738</v>
      </c>
      <c r="F435" s="1" t="str">
        <f>+TEXT(meli[[#This Row],[date_created]],"HH:MM")</f>
        <v>14:25</v>
      </c>
      <c r="G435" t="s">
        <v>894</v>
      </c>
      <c r="H435" t="s">
        <v>895</v>
      </c>
      <c r="I435" t="s">
        <v>21</v>
      </c>
    </row>
    <row r="436" spans="1:9" x14ac:dyDescent="0.3">
      <c r="A436" t="s">
        <v>922</v>
      </c>
      <c r="B436">
        <v>626</v>
      </c>
      <c r="C436" t="s">
        <v>923</v>
      </c>
      <c r="D436">
        <v>119000</v>
      </c>
      <c r="E436" s="2">
        <v>44994.879837962966</v>
      </c>
      <c r="F436" s="1" t="str">
        <f>+TEXT(meli[[#This Row],[date_created]],"HH:MM")</f>
        <v>21:06</v>
      </c>
      <c r="G436" t="s">
        <v>894</v>
      </c>
      <c r="H436" t="s">
        <v>895</v>
      </c>
      <c r="I436" t="s">
        <v>12</v>
      </c>
    </row>
    <row r="437" spans="1:9" x14ac:dyDescent="0.3">
      <c r="A437" t="s">
        <v>924</v>
      </c>
      <c r="B437">
        <v>500</v>
      </c>
      <c r="C437" t="s">
        <v>925</v>
      </c>
      <c r="D437">
        <v>136080</v>
      </c>
      <c r="E437" s="2">
        <v>44369.393425925926</v>
      </c>
      <c r="F437" s="1" t="str">
        <f>+TEXT(meli[[#This Row],[date_created]],"HH:MM")</f>
        <v>09:26</v>
      </c>
      <c r="G437" t="s">
        <v>894</v>
      </c>
      <c r="H437" t="s">
        <v>895</v>
      </c>
      <c r="I437" t="s">
        <v>21</v>
      </c>
    </row>
    <row r="438" spans="1:9" x14ac:dyDescent="0.3">
      <c r="A438" t="s">
        <v>926</v>
      </c>
      <c r="B438">
        <v>500</v>
      </c>
      <c r="C438" t="s">
        <v>927</v>
      </c>
      <c r="D438">
        <v>169990</v>
      </c>
      <c r="E438" s="2">
        <v>45070.451597222222</v>
      </c>
      <c r="F438" s="1" t="str">
        <f>+TEXT(meli[[#This Row],[date_created]],"HH:MM")</f>
        <v>10:50</v>
      </c>
      <c r="G438" t="s">
        <v>894</v>
      </c>
      <c r="H438" t="s">
        <v>895</v>
      </c>
      <c r="I438" t="s">
        <v>21</v>
      </c>
    </row>
    <row r="439" spans="1:9" x14ac:dyDescent="0.3">
      <c r="A439" t="s">
        <v>928</v>
      </c>
      <c r="B439">
        <v>500</v>
      </c>
      <c r="C439" t="s">
        <v>929</v>
      </c>
      <c r="D439">
        <v>199000</v>
      </c>
      <c r="E439" s="2">
        <v>44722.671620370369</v>
      </c>
      <c r="F439" s="1" t="str">
        <f>+TEXT(meli[[#This Row],[date_created]],"HH:MM")</f>
        <v>16:07</v>
      </c>
      <c r="G439" t="s">
        <v>894</v>
      </c>
      <c r="H439" t="s">
        <v>895</v>
      </c>
      <c r="I439" t="s">
        <v>21</v>
      </c>
    </row>
    <row r="440" spans="1:9" x14ac:dyDescent="0.3">
      <c r="A440" t="s">
        <v>930</v>
      </c>
      <c r="B440">
        <v>368</v>
      </c>
      <c r="C440" t="s">
        <v>931</v>
      </c>
      <c r="D440">
        <v>59990</v>
      </c>
      <c r="E440" s="2">
        <v>44928.875127314815</v>
      </c>
      <c r="F440" s="1" t="str">
        <f>+TEXT(meli[[#This Row],[date_created]],"HH:MM")</f>
        <v>21:00</v>
      </c>
      <c r="G440" t="s">
        <v>894</v>
      </c>
      <c r="H440" t="s">
        <v>895</v>
      </c>
      <c r="I440" t="s">
        <v>12</v>
      </c>
    </row>
    <row r="441" spans="1:9" x14ac:dyDescent="0.3">
      <c r="A441" t="s">
        <v>932</v>
      </c>
      <c r="B441">
        <v>243</v>
      </c>
      <c r="C441" t="s">
        <v>933</v>
      </c>
      <c r="D441">
        <v>196990</v>
      </c>
      <c r="E441" s="2">
        <v>44988.883750000001</v>
      </c>
      <c r="F441" s="1" t="str">
        <f>+TEXT(meli[[#This Row],[date_created]],"HH:MM")</f>
        <v>21:12</v>
      </c>
      <c r="G441" t="s">
        <v>894</v>
      </c>
      <c r="H441" t="s">
        <v>895</v>
      </c>
      <c r="I441" t="s">
        <v>12</v>
      </c>
    </row>
    <row r="442" spans="1:9" x14ac:dyDescent="0.3">
      <c r="A442" t="s">
        <v>934</v>
      </c>
      <c r="B442">
        <v>1178</v>
      </c>
      <c r="C442" t="s">
        <v>935</v>
      </c>
      <c r="D442">
        <v>61000</v>
      </c>
      <c r="E442" s="2">
        <v>45042.732557870368</v>
      </c>
      <c r="F442" s="1" t="str">
        <f>+TEXT(meli[[#This Row],[date_created]],"HH:MM")</f>
        <v>17:34</v>
      </c>
      <c r="G442" t="s">
        <v>936</v>
      </c>
      <c r="H442" t="s">
        <v>937</v>
      </c>
      <c r="I442" t="s">
        <v>12</v>
      </c>
    </row>
    <row r="443" spans="1:9" x14ac:dyDescent="0.3">
      <c r="A443" t="s">
        <v>938</v>
      </c>
      <c r="B443">
        <v>1144</v>
      </c>
      <c r="C443" t="s">
        <v>939</v>
      </c>
      <c r="D443">
        <v>187990</v>
      </c>
      <c r="E443" s="2">
        <v>45021.342824074076</v>
      </c>
      <c r="F443" s="1" t="str">
        <f>+TEXT(meli[[#This Row],[date_created]],"HH:MM")</f>
        <v>08:13</v>
      </c>
      <c r="G443" t="s">
        <v>936</v>
      </c>
      <c r="H443" t="s">
        <v>937</v>
      </c>
      <c r="I443" t="s">
        <v>12</v>
      </c>
    </row>
    <row r="444" spans="1:9" x14ac:dyDescent="0.3">
      <c r="A444" t="s">
        <v>940</v>
      </c>
      <c r="B444">
        <v>718</v>
      </c>
      <c r="C444" t="s">
        <v>941</v>
      </c>
      <c r="D444">
        <v>38990</v>
      </c>
      <c r="E444" s="2">
        <v>45035.737708333334</v>
      </c>
      <c r="F444" s="1" t="str">
        <f>+TEXT(meli[[#This Row],[date_created]],"HH:MM")</f>
        <v>17:42</v>
      </c>
      <c r="G444" t="s">
        <v>936</v>
      </c>
      <c r="H444" t="s">
        <v>937</v>
      </c>
      <c r="I444" t="s">
        <v>12</v>
      </c>
    </row>
    <row r="445" spans="1:9" x14ac:dyDescent="0.3">
      <c r="A445" t="s">
        <v>942</v>
      </c>
      <c r="B445">
        <v>520</v>
      </c>
      <c r="C445" t="s">
        <v>943</v>
      </c>
      <c r="D445">
        <v>2195459</v>
      </c>
      <c r="E445" s="2">
        <v>45032.715324074074</v>
      </c>
      <c r="F445" s="1" t="str">
        <f>+TEXT(meli[[#This Row],[date_created]],"HH:MM")</f>
        <v>17:10</v>
      </c>
      <c r="G445" t="s">
        <v>936</v>
      </c>
      <c r="H445" t="s">
        <v>937</v>
      </c>
      <c r="I445" t="s">
        <v>12</v>
      </c>
    </row>
    <row r="446" spans="1:9" x14ac:dyDescent="0.3">
      <c r="A446" t="s">
        <v>944</v>
      </c>
      <c r="B446">
        <v>502</v>
      </c>
      <c r="C446" t="s">
        <v>945</v>
      </c>
      <c r="D446">
        <v>42900</v>
      </c>
      <c r="E446" s="2">
        <v>45041.336851851855</v>
      </c>
      <c r="F446" s="1" t="str">
        <f>+TEXT(meli[[#This Row],[date_created]],"HH:MM")</f>
        <v>08:05</v>
      </c>
      <c r="G446" t="s">
        <v>936</v>
      </c>
      <c r="H446" t="s">
        <v>937</v>
      </c>
      <c r="I446" t="s">
        <v>12</v>
      </c>
    </row>
    <row r="447" spans="1:9" x14ac:dyDescent="0.3">
      <c r="A447" t="s">
        <v>946</v>
      </c>
      <c r="B447">
        <v>500</v>
      </c>
      <c r="C447" t="s">
        <v>947</v>
      </c>
      <c r="D447">
        <v>349900</v>
      </c>
      <c r="E447" s="2">
        <v>45079.687581018516</v>
      </c>
      <c r="F447" s="1" t="str">
        <f>+TEXT(meli[[#This Row],[date_created]],"HH:MM")</f>
        <v>16:30</v>
      </c>
      <c r="G447" t="s">
        <v>936</v>
      </c>
      <c r="H447" t="s">
        <v>937</v>
      </c>
      <c r="I447" t="s">
        <v>21</v>
      </c>
    </row>
    <row r="448" spans="1:9" x14ac:dyDescent="0.3">
      <c r="A448" t="s">
        <v>948</v>
      </c>
      <c r="B448">
        <v>500</v>
      </c>
      <c r="C448" t="s">
        <v>949</v>
      </c>
      <c r="D448">
        <v>30000</v>
      </c>
      <c r="E448" s="2">
        <v>44476.837291666663</v>
      </c>
      <c r="F448" s="1" t="str">
        <f>+TEXT(meli[[#This Row],[date_created]],"HH:MM")</f>
        <v>20:05</v>
      </c>
      <c r="G448" t="s">
        <v>936</v>
      </c>
      <c r="H448" t="s">
        <v>937</v>
      </c>
      <c r="I448" t="s">
        <v>21</v>
      </c>
    </row>
    <row r="449" spans="1:9" x14ac:dyDescent="0.3">
      <c r="A449" t="s">
        <v>950</v>
      </c>
      <c r="B449">
        <v>500</v>
      </c>
      <c r="C449" t="s">
        <v>951</v>
      </c>
      <c r="D449">
        <v>43900</v>
      </c>
      <c r="E449" s="2">
        <v>44070.693935185183</v>
      </c>
      <c r="F449" s="1" t="str">
        <f>+TEXT(meli[[#This Row],[date_created]],"HH:MM")</f>
        <v>16:39</v>
      </c>
      <c r="G449" t="s">
        <v>936</v>
      </c>
      <c r="H449" t="s">
        <v>937</v>
      </c>
      <c r="I449" t="s">
        <v>21</v>
      </c>
    </row>
    <row r="450" spans="1:9" x14ac:dyDescent="0.3">
      <c r="A450" t="s">
        <v>952</v>
      </c>
      <c r="B450">
        <v>500</v>
      </c>
      <c r="C450" t="s">
        <v>953</v>
      </c>
      <c r="D450">
        <v>359900</v>
      </c>
      <c r="E450" s="2">
        <v>44795.804479166669</v>
      </c>
      <c r="F450" s="1" t="str">
        <f>+TEXT(meli[[#This Row],[date_created]],"HH:MM")</f>
        <v>19:18</v>
      </c>
      <c r="G450" t="s">
        <v>936</v>
      </c>
      <c r="H450" t="s">
        <v>937</v>
      </c>
      <c r="I450" t="s">
        <v>21</v>
      </c>
    </row>
    <row r="451" spans="1:9" x14ac:dyDescent="0.3">
      <c r="A451" t="s">
        <v>954</v>
      </c>
      <c r="B451">
        <v>500</v>
      </c>
      <c r="C451" t="s">
        <v>955</v>
      </c>
      <c r="D451">
        <v>359900</v>
      </c>
      <c r="E451" s="2">
        <v>44508.725601851853</v>
      </c>
      <c r="F451" s="1" t="str">
        <f>+TEXT(meli[[#This Row],[date_created]],"HH:MM")</f>
        <v>17:24</v>
      </c>
      <c r="G451" t="s">
        <v>936</v>
      </c>
      <c r="H451" t="s">
        <v>937</v>
      </c>
      <c r="I451" t="s">
        <v>21</v>
      </c>
    </row>
    <row r="452" spans="1:9" x14ac:dyDescent="0.3">
      <c r="A452" t="s">
        <v>956</v>
      </c>
      <c r="B452">
        <v>455</v>
      </c>
      <c r="C452" t="s">
        <v>957</v>
      </c>
      <c r="D452">
        <v>183990</v>
      </c>
      <c r="E452" s="2">
        <v>45035.625347222223</v>
      </c>
      <c r="F452" s="1" t="str">
        <f>+TEXT(meli[[#This Row],[date_created]],"HH:MM")</f>
        <v>15:00</v>
      </c>
      <c r="G452" t="s">
        <v>936</v>
      </c>
      <c r="H452" t="s">
        <v>937</v>
      </c>
      <c r="I452" t="s">
        <v>12</v>
      </c>
    </row>
    <row r="453" spans="1:9" x14ac:dyDescent="0.3">
      <c r="A453" t="s">
        <v>958</v>
      </c>
      <c r="B453">
        <v>250</v>
      </c>
      <c r="C453" t="s">
        <v>959</v>
      </c>
      <c r="D453">
        <v>37900</v>
      </c>
      <c r="E453" s="2">
        <v>44207.492280092592</v>
      </c>
      <c r="F453" s="1" t="str">
        <f>+TEXT(meli[[#This Row],[date_created]],"HH:MM")</f>
        <v>11:48</v>
      </c>
      <c r="G453" t="s">
        <v>936</v>
      </c>
      <c r="H453" t="s">
        <v>937</v>
      </c>
      <c r="I453" t="s">
        <v>21</v>
      </c>
    </row>
    <row r="454" spans="1:9" x14ac:dyDescent="0.3">
      <c r="A454" t="s">
        <v>960</v>
      </c>
      <c r="B454">
        <v>250</v>
      </c>
      <c r="C454" t="s">
        <v>961</v>
      </c>
      <c r="D454">
        <v>183990</v>
      </c>
      <c r="E454" s="2">
        <v>42424.84337962963</v>
      </c>
      <c r="F454" s="1" t="str">
        <f>+TEXT(meli[[#This Row],[date_created]],"HH:MM")</f>
        <v>20:14</v>
      </c>
      <c r="G454" t="s">
        <v>936</v>
      </c>
      <c r="H454" t="s">
        <v>937</v>
      </c>
      <c r="I454" t="s">
        <v>21</v>
      </c>
    </row>
    <row r="455" spans="1:9" x14ac:dyDescent="0.3">
      <c r="A455" t="s">
        <v>962</v>
      </c>
      <c r="B455">
        <v>200</v>
      </c>
      <c r="C455" t="s">
        <v>963</v>
      </c>
      <c r="D455">
        <v>206990</v>
      </c>
      <c r="E455" s="2">
        <v>42828.805046296293</v>
      </c>
      <c r="F455" s="1" t="str">
        <f>+TEXT(meli[[#This Row],[date_created]],"HH:MM")</f>
        <v>19:19</v>
      </c>
      <c r="G455" t="s">
        <v>936</v>
      </c>
      <c r="H455" t="s">
        <v>937</v>
      </c>
      <c r="I455" t="s">
        <v>21</v>
      </c>
    </row>
    <row r="456" spans="1:9" x14ac:dyDescent="0.3">
      <c r="A456" t="s">
        <v>964</v>
      </c>
      <c r="B456">
        <v>163</v>
      </c>
      <c r="C456" t="s">
        <v>965</v>
      </c>
      <c r="D456">
        <v>30000</v>
      </c>
      <c r="E456" s="2">
        <v>45037.898576388892</v>
      </c>
      <c r="F456" s="1" t="str">
        <f>+TEXT(meli[[#This Row],[date_created]],"HH:MM")</f>
        <v>21:33</v>
      </c>
      <c r="G456" t="s">
        <v>936</v>
      </c>
      <c r="H456" t="s">
        <v>937</v>
      </c>
      <c r="I456" t="s">
        <v>12</v>
      </c>
    </row>
    <row r="457" spans="1:9" x14ac:dyDescent="0.3">
      <c r="A457" t="s">
        <v>966</v>
      </c>
      <c r="B457">
        <v>143</v>
      </c>
      <c r="C457" t="s">
        <v>967</v>
      </c>
      <c r="D457">
        <v>299900</v>
      </c>
      <c r="E457" s="2">
        <v>45021.59275462963</v>
      </c>
      <c r="F457" s="1" t="str">
        <f>+TEXT(meli[[#This Row],[date_created]],"HH:MM")</f>
        <v>14:13</v>
      </c>
      <c r="G457" t="s">
        <v>936</v>
      </c>
      <c r="H457" t="s">
        <v>937</v>
      </c>
      <c r="I457" t="s">
        <v>12</v>
      </c>
    </row>
    <row r="458" spans="1:9" x14ac:dyDescent="0.3">
      <c r="A458" t="s">
        <v>968</v>
      </c>
      <c r="B458">
        <v>82</v>
      </c>
      <c r="C458" t="s">
        <v>969</v>
      </c>
      <c r="D458">
        <v>99900</v>
      </c>
      <c r="E458" s="2">
        <v>44766.054756944446</v>
      </c>
      <c r="F458" s="1" t="str">
        <f>+TEXT(meli[[#This Row],[date_created]],"HH:MM")</f>
        <v>01:18</v>
      </c>
      <c r="G458" t="s">
        <v>936</v>
      </c>
      <c r="H458" t="s">
        <v>937</v>
      </c>
      <c r="I458" t="s">
        <v>21</v>
      </c>
    </row>
    <row r="459" spans="1:9" x14ac:dyDescent="0.3">
      <c r="A459" t="s">
        <v>970</v>
      </c>
      <c r="B459">
        <v>50</v>
      </c>
      <c r="C459" t="s">
        <v>971</v>
      </c>
      <c r="D459">
        <v>379900</v>
      </c>
      <c r="E459" s="2">
        <v>45131.976678240739</v>
      </c>
      <c r="F459" s="1" t="str">
        <f>+TEXT(meli[[#This Row],[date_created]],"HH:MM")</f>
        <v>23:26</v>
      </c>
      <c r="G459" t="s">
        <v>936</v>
      </c>
      <c r="H459" t="s">
        <v>937</v>
      </c>
      <c r="I459" t="s">
        <v>21</v>
      </c>
    </row>
    <row r="460" spans="1:9" x14ac:dyDescent="0.3">
      <c r="A460" t="s">
        <v>972</v>
      </c>
      <c r="B460">
        <v>25</v>
      </c>
      <c r="C460" t="s">
        <v>973</v>
      </c>
      <c r="D460">
        <v>299900</v>
      </c>
      <c r="E460" s="2">
        <v>45131.96130787037</v>
      </c>
      <c r="F460" s="1" t="str">
        <f>+TEXT(meli[[#This Row],[date_created]],"HH:MM")</f>
        <v>23:04</v>
      </c>
      <c r="G460" t="s">
        <v>936</v>
      </c>
      <c r="H460" t="s">
        <v>937</v>
      </c>
      <c r="I460" t="s">
        <v>21</v>
      </c>
    </row>
    <row r="461" spans="1:9" x14ac:dyDescent="0.3">
      <c r="A461" t="s">
        <v>974</v>
      </c>
      <c r="B461">
        <v>5</v>
      </c>
      <c r="C461" t="s">
        <v>975</v>
      </c>
      <c r="D461">
        <v>199900</v>
      </c>
      <c r="E461" s="2">
        <v>45144.793969907405</v>
      </c>
      <c r="F461" s="1" t="str">
        <f>+TEXT(meli[[#This Row],[date_created]],"HH:MM")</f>
        <v>19:03</v>
      </c>
      <c r="G461" t="s">
        <v>936</v>
      </c>
      <c r="H461" t="s">
        <v>937</v>
      </c>
      <c r="I461" t="s">
        <v>21</v>
      </c>
    </row>
    <row r="462" spans="1:9" x14ac:dyDescent="0.3">
      <c r="A462" t="s">
        <v>976</v>
      </c>
      <c r="B462">
        <v>32362</v>
      </c>
      <c r="C462" t="s">
        <v>977</v>
      </c>
      <c r="D462">
        <v>33000</v>
      </c>
      <c r="E462" s="2">
        <v>44900.773321759261</v>
      </c>
      <c r="F462" s="1" t="str">
        <f>+TEXT(meli[[#This Row],[date_created]],"HH:MM")</f>
        <v>18:33</v>
      </c>
      <c r="G462" t="s">
        <v>978</v>
      </c>
      <c r="H462" t="s">
        <v>979</v>
      </c>
      <c r="I462" t="s">
        <v>12</v>
      </c>
    </row>
    <row r="463" spans="1:9" x14ac:dyDescent="0.3">
      <c r="A463" t="s">
        <v>980</v>
      </c>
      <c r="B463">
        <v>24212</v>
      </c>
      <c r="C463" t="s">
        <v>981</v>
      </c>
      <c r="D463">
        <v>19700</v>
      </c>
      <c r="E463" s="2">
        <v>44901.773263888892</v>
      </c>
      <c r="F463" s="1" t="str">
        <f>+TEXT(meli[[#This Row],[date_created]],"HH:MM")</f>
        <v>18:33</v>
      </c>
      <c r="G463" t="s">
        <v>978</v>
      </c>
      <c r="H463" t="s">
        <v>979</v>
      </c>
      <c r="I463" t="s">
        <v>12</v>
      </c>
    </row>
    <row r="464" spans="1:9" x14ac:dyDescent="0.3">
      <c r="A464" t="s">
        <v>982</v>
      </c>
      <c r="B464">
        <v>21422</v>
      </c>
      <c r="C464" t="s">
        <v>983</v>
      </c>
      <c r="D464">
        <v>23990</v>
      </c>
      <c r="E464" s="2">
        <v>44901.857037037036</v>
      </c>
      <c r="F464" s="1" t="str">
        <f>+TEXT(meli[[#This Row],[date_created]],"HH:MM")</f>
        <v>20:34</v>
      </c>
      <c r="G464" t="s">
        <v>978</v>
      </c>
      <c r="H464" t="s">
        <v>979</v>
      </c>
      <c r="I464" t="s">
        <v>12</v>
      </c>
    </row>
    <row r="465" spans="1:9" x14ac:dyDescent="0.3">
      <c r="A465" t="s">
        <v>984</v>
      </c>
      <c r="B465">
        <v>9956</v>
      </c>
      <c r="C465" t="s">
        <v>985</v>
      </c>
      <c r="D465">
        <v>12980</v>
      </c>
      <c r="E465" s="2">
        <v>44898.773101851853</v>
      </c>
      <c r="F465" s="1" t="str">
        <f>+TEXT(meli[[#This Row],[date_created]],"HH:MM")</f>
        <v>18:33</v>
      </c>
      <c r="G465" t="s">
        <v>978</v>
      </c>
      <c r="H465" t="s">
        <v>979</v>
      </c>
      <c r="I465" t="s">
        <v>12</v>
      </c>
    </row>
    <row r="466" spans="1:9" x14ac:dyDescent="0.3">
      <c r="A466" t="s">
        <v>986</v>
      </c>
      <c r="B466">
        <v>9292</v>
      </c>
      <c r="C466" t="s">
        <v>987</v>
      </c>
      <c r="D466">
        <v>23940</v>
      </c>
      <c r="E466" s="2">
        <v>44901.773263888892</v>
      </c>
      <c r="F466" s="1" t="str">
        <f>+TEXT(meli[[#This Row],[date_created]],"HH:MM")</f>
        <v>18:33</v>
      </c>
      <c r="G466" t="s">
        <v>978</v>
      </c>
      <c r="H466" t="s">
        <v>979</v>
      </c>
      <c r="I466" t="s">
        <v>12</v>
      </c>
    </row>
    <row r="467" spans="1:9" x14ac:dyDescent="0.3">
      <c r="A467" t="s">
        <v>988</v>
      </c>
      <c r="B467">
        <v>9002</v>
      </c>
      <c r="C467" t="s">
        <v>989</v>
      </c>
      <c r="D467">
        <v>17592</v>
      </c>
      <c r="E467" s="2">
        <v>44898.773113425923</v>
      </c>
      <c r="F467" s="1" t="str">
        <f>+TEXT(meli[[#This Row],[date_created]],"HH:MM")</f>
        <v>18:33</v>
      </c>
      <c r="G467" t="s">
        <v>978</v>
      </c>
      <c r="H467" t="s">
        <v>979</v>
      </c>
      <c r="I467" t="s">
        <v>12</v>
      </c>
    </row>
    <row r="468" spans="1:9" x14ac:dyDescent="0.3">
      <c r="A468" t="s">
        <v>990</v>
      </c>
      <c r="B468">
        <v>5650</v>
      </c>
      <c r="C468" t="s">
        <v>991</v>
      </c>
      <c r="D468">
        <v>20800</v>
      </c>
      <c r="E468" s="2">
        <v>44028.889884259261</v>
      </c>
      <c r="F468" s="1" t="str">
        <f>+TEXT(meli[[#This Row],[date_created]],"HH:MM")</f>
        <v>21:21</v>
      </c>
      <c r="G468" t="s">
        <v>978</v>
      </c>
      <c r="H468" t="s">
        <v>979</v>
      </c>
      <c r="I468" t="s">
        <v>21</v>
      </c>
    </row>
    <row r="469" spans="1:9" x14ac:dyDescent="0.3">
      <c r="A469" t="s">
        <v>992</v>
      </c>
      <c r="B469">
        <v>5000</v>
      </c>
      <c r="C469" t="s">
        <v>993</v>
      </c>
      <c r="D469">
        <v>307808</v>
      </c>
      <c r="E469" s="2">
        <v>43958.727002314816</v>
      </c>
      <c r="F469" s="1" t="str">
        <f>+TEXT(meli[[#This Row],[date_created]],"HH:MM")</f>
        <v>17:26</v>
      </c>
      <c r="G469" t="s">
        <v>978</v>
      </c>
      <c r="H469" t="s">
        <v>979</v>
      </c>
      <c r="I469" t="s">
        <v>21</v>
      </c>
    </row>
    <row r="470" spans="1:9" x14ac:dyDescent="0.3">
      <c r="A470" t="s">
        <v>994</v>
      </c>
      <c r="B470">
        <v>4762</v>
      </c>
      <c r="C470" t="s">
        <v>995</v>
      </c>
      <c r="D470">
        <v>191968</v>
      </c>
      <c r="E470" s="2">
        <v>44902.441828703704</v>
      </c>
      <c r="F470" s="1" t="str">
        <f>+TEXT(meli[[#This Row],[date_created]],"HH:MM")</f>
        <v>10:36</v>
      </c>
      <c r="G470" t="s">
        <v>978</v>
      </c>
      <c r="H470" t="s">
        <v>979</v>
      </c>
      <c r="I470" t="s">
        <v>12</v>
      </c>
    </row>
    <row r="471" spans="1:9" x14ac:dyDescent="0.3">
      <c r="A471" t="s">
        <v>996</v>
      </c>
      <c r="B471">
        <v>4192</v>
      </c>
      <c r="C471" t="s">
        <v>997</v>
      </c>
      <c r="D471">
        <v>44737</v>
      </c>
      <c r="E471" s="2">
        <v>44901.857025462959</v>
      </c>
      <c r="F471" s="1" t="str">
        <f>+TEXT(meli[[#This Row],[date_created]],"HH:MM")</f>
        <v>20:34</v>
      </c>
      <c r="G471" t="s">
        <v>978</v>
      </c>
      <c r="H471" t="s">
        <v>979</v>
      </c>
      <c r="I471" t="s">
        <v>12</v>
      </c>
    </row>
    <row r="472" spans="1:9" x14ac:dyDescent="0.3">
      <c r="A472" t="s">
        <v>998</v>
      </c>
      <c r="B472">
        <v>3329</v>
      </c>
      <c r="C472" t="s">
        <v>999</v>
      </c>
      <c r="D472">
        <v>668395</v>
      </c>
      <c r="E472" s="2">
        <v>43942.889039351852</v>
      </c>
      <c r="F472" s="1" t="str">
        <f>+TEXT(meli[[#This Row],[date_created]],"HH:MM")</f>
        <v>21:20</v>
      </c>
      <c r="G472" t="s">
        <v>978</v>
      </c>
      <c r="H472" t="s">
        <v>979</v>
      </c>
      <c r="I472" t="s">
        <v>21</v>
      </c>
    </row>
    <row r="473" spans="1:9" x14ac:dyDescent="0.3">
      <c r="A473" t="s">
        <v>1000</v>
      </c>
      <c r="B473">
        <v>1750</v>
      </c>
      <c r="C473" t="s">
        <v>1001</v>
      </c>
      <c r="D473">
        <v>33475</v>
      </c>
      <c r="E473" s="2">
        <v>44938.403043981481</v>
      </c>
      <c r="F473" s="1" t="str">
        <f>+TEXT(meli[[#This Row],[date_created]],"HH:MM")</f>
        <v>09:40</v>
      </c>
      <c r="G473" t="s">
        <v>978</v>
      </c>
      <c r="H473" t="s">
        <v>979</v>
      </c>
      <c r="I473" t="s">
        <v>21</v>
      </c>
    </row>
    <row r="474" spans="1:9" x14ac:dyDescent="0.3">
      <c r="A474" t="s">
        <v>1002</v>
      </c>
      <c r="B474">
        <v>1178</v>
      </c>
      <c r="C474" t="s">
        <v>1003</v>
      </c>
      <c r="D474">
        <v>26000</v>
      </c>
      <c r="E474" s="2">
        <v>44930.024340277778</v>
      </c>
      <c r="F474" s="1" t="str">
        <f>+TEXT(meli[[#This Row],[date_created]],"HH:MM")</f>
        <v>00:35</v>
      </c>
      <c r="G474" t="s">
        <v>978</v>
      </c>
      <c r="H474" t="s">
        <v>979</v>
      </c>
      <c r="I474" t="s">
        <v>12</v>
      </c>
    </row>
    <row r="475" spans="1:9" x14ac:dyDescent="0.3">
      <c r="A475" t="s">
        <v>1004</v>
      </c>
      <c r="B475">
        <v>565</v>
      </c>
      <c r="C475" t="s">
        <v>1005</v>
      </c>
      <c r="D475">
        <v>20000</v>
      </c>
      <c r="E475" s="2">
        <v>44475.795543981483</v>
      </c>
      <c r="F475" s="1" t="str">
        <f>+TEXT(meli[[#This Row],[date_created]],"HH:MM")</f>
        <v>19:05</v>
      </c>
      <c r="G475" t="s">
        <v>978</v>
      </c>
      <c r="H475" t="s">
        <v>979</v>
      </c>
      <c r="I475" t="s">
        <v>21</v>
      </c>
    </row>
    <row r="476" spans="1:9" x14ac:dyDescent="0.3">
      <c r="A476" t="s">
        <v>1006</v>
      </c>
      <c r="B476">
        <v>500</v>
      </c>
      <c r="C476" t="s">
        <v>1007</v>
      </c>
      <c r="D476">
        <v>69990</v>
      </c>
      <c r="E476" s="2">
        <v>45075.645914351851</v>
      </c>
      <c r="F476" s="1" t="str">
        <f>+TEXT(meli[[#This Row],[date_created]],"HH:MM")</f>
        <v>15:30</v>
      </c>
      <c r="G476" t="s">
        <v>978</v>
      </c>
      <c r="H476" t="s">
        <v>979</v>
      </c>
      <c r="I476" t="s">
        <v>21</v>
      </c>
    </row>
    <row r="477" spans="1:9" x14ac:dyDescent="0.3">
      <c r="A477" t="s">
        <v>1008</v>
      </c>
      <c r="B477">
        <v>500</v>
      </c>
      <c r="C477" t="s">
        <v>1009</v>
      </c>
      <c r="D477">
        <v>474136</v>
      </c>
      <c r="E477" s="2">
        <v>44610.699212962965</v>
      </c>
      <c r="F477" s="1" t="str">
        <f>+TEXT(meli[[#This Row],[date_created]],"HH:MM")</f>
        <v>16:46</v>
      </c>
      <c r="G477" t="s">
        <v>978</v>
      </c>
      <c r="H477" t="s">
        <v>979</v>
      </c>
      <c r="I477" t="s">
        <v>21</v>
      </c>
    </row>
    <row r="478" spans="1:9" x14ac:dyDescent="0.3">
      <c r="A478" t="s">
        <v>1010</v>
      </c>
      <c r="B478">
        <v>500</v>
      </c>
      <c r="C478" t="s">
        <v>1011</v>
      </c>
      <c r="D478">
        <v>1176741</v>
      </c>
      <c r="E478" s="2">
        <v>44693.521493055552</v>
      </c>
      <c r="F478" s="1" t="str">
        <f>+TEXT(meli[[#This Row],[date_created]],"HH:MM")</f>
        <v>12:30</v>
      </c>
      <c r="G478" t="s">
        <v>978</v>
      </c>
      <c r="H478" t="s">
        <v>979</v>
      </c>
      <c r="I478" t="s">
        <v>21</v>
      </c>
    </row>
    <row r="479" spans="1:9" x14ac:dyDescent="0.3">
      <c r="A479" t="s">
        <v>1012</v>
      </c>
      <c r="B479">
        <v>500</v>
      </c>
      <c r="C479" t="s">
        <v>1013</v>
      </c>
      <c r="D479">
        <v>89082</v>
      </c>
      <c r="E479" s="2">
        <v>44162.515381944446</v>
      </c>
      <c r="F479" s="1" t="str">
        <f>+TEXT(meli[[#This Row],[date_created]],"HH:MM")</f>
        <v>12:22</v>
      </c>
      <c r="G479" t="s">
        <v>978</v>
      </c>
      <c r="H479" t="s">
        <v>979</v>
      </c>
      <c r="I479" t="s">
        <v>21</v>
      </c>
    </row>
    <row r="480" spans="1:9" x14ac:dyDescent="0.3">
      <c r="A480" t="s">
        <v>1014</v>
      </c>
      <c r="B480">
        <v>340</v>
      </c>
      <c r="C480" t="s">
        <v>1015</v>
      </c>
      <c r="D480">
        <v>282295</v>
      </c>
      <c r="E480" s="2">
        <v>45037.531585648147</v>
      </c>
      <c r="F480" s="1" t="str">
        <f>+TEXT(meli[[#This Row],[date_created]],"HH:MM")</f>
        <v>12:45</v>
      </c>
      <c r="G480" t="s">
        <v>978</v>
      </c>
      <c r="H480" t="s">
        <v>979</v>
      </c>
      <c r="I480" t="s">
        <v>21</v>
      </c>
    </row>
    <row r="481" spans="1:9" x14ac:dyDescent="0.3">
      <c r="A481" t="s">
        <v>1016</v>
      </c>
      <c r="B481">
        <v>200</v>
      </c>
      <c r="C481" t="s">
        <v>1017</v>
      </c>
      <c r="D481">
        <v>57200</v>
      </c>
      <c r="E481" s="2">
        <v>45112.712175925924</v>
      </c>
      <c r="F481" s="1" t="str">
        <f>+TEXT(meli[[#This Row],[date_created]],"HH:MM")</f>
        <v>17:05</v>
      </c>
      <c r="G481" t="s">
        <v>978</v>
      </c>
      <c r="H481" t="s">
        <v>979</v>
      </c>
      <c r="I481" t="s">
        <v>21</v>
      </c>
    </row>
    <row r="482" spans="1:9" x14ac:dyDescent="0.3">
      <c r="A482" t="s">
        <v>1018</v>
      </c>
      <c r="B482">
        <v>57157</v>
      </c>
      <c r="C482" t="s">
        <v>1019</v>
      </c>
      <c r="D482">
        <v>44900</v>
      </c>
      <c r="E482" s="2">
        <v>42495.837361111109</v>
      </c>
      <c r="F482" s="1" t="str">
        <f>+TEXT(meli[[#This Row],[date_created]],"HH:MM")</f>
        <v>20:05</v>
      </c>
      <c r="G482" t="s">
        <v>1020</v>
      </c>
      <c r="H482" t="s">
        <v>1021</v>
      </c>
      <c r="I482" t="s">
        <v>21</v>
      </c>
    </row>
    <row r="483" spans="1:9" x14ac:dyDescent="0.3">
      <c r="A483" t="s">
        <v>1022</v>
      </c>
      <c r="B483">
        <v>19937</v>
      </c>
      <c r="C483" t="s">
        <v>1023</v>
      </c>
      <c r="D483">
        <v>87000</v>
      </c>
      <c r="E483" s="2">
        <v>43944.793124999997</v>
      </c>
      <c r="F483" s="1" t="str">
        <f>+TEXT(meli[[#This Row],[date_created]],"HH:MM")</f>
        <v>19:02</v>
      </c>
      <c r="G483" t="s">
        <v>1020</v>
      </c>
      <c r="H483" t="s">
        <v>1021</v>
      </c>
      <c r="I483" t="s">
        <v>21</v>
      </c>
    </row>
    <row r="484" spans="1:9" x14ac:dyDescent="0.3">
      <c r="A484" t="s">
        <v>1024</v>
      </c>
      <c r="B484">
        <v>15870</v>
      </c>
      <c r="C484" t="s">
        <v>1025</v>
      </c>
      <c r="D484">
        <v>596329</v>
      </c>
      <c r="E484" s="2">
        <v>44266.330150462964</v>
      </c>
      <c r="F484" s="1" t="str">
        <f>+TEXT(meli[[#This Row],[date_created]],"HH:MM")</f>
        <v>07:55</v>
      </c>
      <c r="G484" t="s">
        <v>1020</v>
      </c>
      <c r="H484" t="s">
        <v>1021</v>
      </c>
      <c r="I484" t="s">
        <v>21</v>
      </c>
    </row>
    <row r="485" spans="1:9" x14ac:dyDescent="0.3">
      <c r="A485" t="s">
        <v>1026</v>
      </c>
      <c r="B485">
        <v>13402</v>
      </c>
      <c r="C485" t="s">
        <v>1027</v>
      </c>
      <c r="D485">
        <v>31880</v>
      </c>
      <c r="E485" s="2">
        <v>44080.516215277778</v>
      </c>
      <c r="F485" s="1" t="str">
        <f>+TEXT(meli[[#This Row],[date_created]],"HH:MM")</f>
        <v>12:23</v>
      </c>
      <c r="G485" t="s">
        <v>1020</v>
      </c>
      <c r="H485" t="s">
        <v>1021</v>
      </c>
      <c r="I485" t="s">
        <v>21</v>
      </c>
    </row>
    <row r="486" spans="1:9" x14ac:dyDescent="0.3">
      <c r="A486" t="s">
        <v>1028</v>
      </c>
      <c r="B486">
        <v>11971</v>
      </c>
      <c r="C486" t="s">
        <v>1029</v>
      </c>
      <c r="D486">
        <v>77380</v>
      </c>
      <c r="E486" s="2">
        <v>44502.590729166666</v>
      </c>
      <c r="F486" s="1" t="str">
        <f>+TEXT(meli[[#This Row],[date_created]],"HH:MM")</f>
        <v>14:10</v>
      </c>
      <c r="G486" t="s">
        <v>1020</v>
      </c>
      <c r="H486" t="s">
        <v>1021</v>
      </c>
      <c r="I486" t="s">
        <v>21</v>
      </c>
    </row>
    <row r="487" spans="1:9" x14ac:dyDescent="0.3">
      <c r="A487" t="s">
        <v>1030</v>
      </c>
      <c r="B487">
        <v>9615</v>
      </c>
      <c r="C487" t="s">
        <v>1031</v>
      </c>
      <c r="D487">
        <v>119900</v>
      </c>
      <c r="E487" s="2">
        <v>44775.75068287037</v>
      </c>
      <c r="F487" s="1" t="str">
        <f>+TEXT(meli[[#This Row],[date_created]],"HH:MM")</f>
        <v>18:00</v>
      </c>
      <c r="G487" t="s">
        <v>1020</v>
      </c>
      <c r="H487" t="s">
        <v>1021</v>
      </c>
      <c r="I487" t="s">
        <v>21</v>
      </c>
    </row>
    <row r="488" spans="1:9" x14ac:dyDescent="0.3">
      <c r="A488" t="s">
        <v>1032</v>
      </c>
      <c r="B488">
        <v>8161</v>
      </c>
      <c r="C488" t="s">
        <v>1033</v>
      </c>
      <c r="D488">
        <v>149900</v>
      </c>
      <c r="E488" s="2">
        <v>43915.482685185183</v>
      </c>
      <c r="F488" s="1" t="str">
        <f>+TEXT(meli[[#This Row],[date_created]],"HH:MM")</f>
        <v>11:35</v>
      </c>
      <c r="G488" t="s">
        <v>1020</v>
      </c>
      <c r="H488" t="s">
        <v>1021</v>
      </c>
      <c r="I488" t="s">
        <v>21</v>
      </c>
    </row>
    <row r="489" spans="1:9" x14ac:dyDescent="0.3">
      <c r="A489" t="s">
        <v>1034</v>
      </c>
      <c r="B489">
        <v>7731</v>
      </c>
      <c r="C489" t="s">
        <v>1035</v>
      </c>
      <c r="D489">
        <v>1287503</v>
      </c>
      <c r="E489" s="2">
        <v>45009.58185185185</v>
      </c>
      <c r="F489" s="1" t="str">
        <f>+TEXT(meli[[#This Row],[date_created]],"HH:MM")</f>
        <v>13:57</v>
      </c>
      <c r="G489" t="s">
        <v>1020</v>
      </c>
      <c r="H489" t="s">
        <v>1021</v>
      </c>
      <c r="I489" t="s">
        <v>21</v>
      </c>
    </row>
    <row r="490" spans="1:9" x14ac:dyDescent="0.3">
      <c r="A490" t="s">
        <v>1036</v>
      </c>
      <c r="B490">
        <v>4755</v>
      </c>
      <c r="C490" t="s">
        <v>1037</v>
      </c>
      <c r="D490">
        <v>159900</v>
      </c>
      <c r="E490" s="2">
        <v>44753.811886574076</v>
      </c>
      <c r="F490" s="1" t="str">
        <f>+TEXT(meli[[#This Row],[date_created]],"HH:MM")</f>
        <v>19:29</v>
      </c>
      <c r="G490" t="s">
        <v>1020</v>
      </c>
      <c r="H490" t="s">
        <v>1021</v>
      </c>
      <c r="I490" t="s">
        <v>21</v>
      </c>
    </row>
    <row r="491" spans="1:9" x14ac:dyDescent="0.3">
      <c r="A491" t="s">
        <v>1038</v>
      </c>
      <c r="B491">
        <v>4405</v>
      </c>
      <c r="C491" t="s">
        <v>1039</v>
      </c>
      <c r="D491">
        <v>79050</v>
      </c>
      <c r="E491" s="2">
        <v>44999.515335648146</v>
      </c>
      <c r="F491" s="1" t="str">
        <f>+TEXT(meli[[#This Row],[date_created]],"HH:MM")</f>
        <v>12:22</v>
      </c>
      <c r="G491" t="s">
        <v>1020</v>
      </c>
      <c r="H491" t="s">
        <v>1021</v>
      </c>
      <c r="I491" t="s">
        <v>21</v>
      </c>
    </row>
    <row r="492" spans="1:9" x14ac:dyDescent="0.3">
      <c r="A492" t="s">
        <v>1040</v>
      </c>
      <c r="B492">
        <v>4044</v>
      </c>
      <c r="C492" t="s">
        <v>1041</v>
      </c>
      <c r="D492">
        <v>826413</v>
      </c>
      <c r="E492" s="2">
        <v>44264.456053240741</v>
      </c>
      <c r="F492" s="1" t="str">
        <f>+TEXT(meli[[#This Row],[date_created]],"HH:MM")</f>
        <v>10:56</v>
      </c>
      <c r="G492" t="s">
        <v>1020</v>
      </c>
      <c r="H492" t="s">
        <v>1021</v>
      </c>
      <c r="I492" t="s">
        <v>21</v>
      </c>
    </row>
    <row r="493" spans="1:9" x14ac:dyDescent="0.3">
      <c r="A493" t="s">
        <v>1042</v>
      </c>
      <c r="B493">
        <v>4025</v>
      </c>
      <c r="C493" t="s">
        <v>1043</v>
      </c>
      <c r="D493">
        <v>166455</v>
      </c>
      <c r="E493" s="2">
        <v>44135.409097222226</v>
      </c>
      <c r="F493" s="1" t="str">
        <f>+TEXT(meli[[#This Row],[date_created]],"HH:MM")</f>
        <v>09:49</v>
      </c>
      <c r="G493" t="s">
        <v>1020</v>
      </c>
      <c r="H493" t="s">
        <v>1021</v>
      </c>
      <c r="I493" t="s">
        <v>21</v>
      </c>
    </row>
    <row r="494" spans="1:9" x14ac:dyDescent="0.3">
      <c r="A494" t="s">
        <v>1044</v>
      </c>
      <c r="B494">
        <v>3993</v>
      </c>
      <c r="C494" t="s">
        <v>1045</v>
      </c>
      <c r="D494">
        <v>1286934</v>
      </c>
      <c r="E494" s="2">
        <v>44895.588680555556</v>
      </c>
      <c r="F494" s="1" t="str">
        <f>+TEXT(meli[[#This Row],[date_created]],"HH:MM")</f>
        <v>14:07</v>
      </c>
      <c r="G494" t="s">
        <v>1020</v>
      </c>
      <c r="H494" t="s">
        <v>1021</v>
      </c>
      <c r="I494" t="s">
        <v>21</v>
      </c>
    </row>
    <row r="495" spans="1:9" x14ac:dyDescent="0.3">
      <c r="A495" t="s">
        <v>1046</v>
      </c>
      <c r="B495">
        <v>3789</v>
      </c>
      <c r="C495" t="s">
        <v>1047</v>
      </c>
      <c r="D495">
        <v>44000</v>
      </c>
      <c r="E495" s="2">
        <v>44876.681655092594</v>
      </c>
      <c r="F495" s="1" t="str">
        <f>+TEXT(meli[[#This Row],[date_created]],"HH:MM")</f>
        <v>16:21</v>
      </c>
      <c r="G495" t="s">
        <v>1020</v>
      </c>
      <c r="H495" t="s">
        <v>1021</v>
      </c>
      <c r="I495" t="s">
        <v>21</v>
      </c>
    </row>
    <row r="496" spans="1:9" x14ac:dyDescent="0.3">
      <c r="A496" t="s">
        <v>1048</v>
      </c>
      <c r="B496">
        <v>3184</v>
      </c>
      <c r="C496" t="s">
        <v>1049</v>
      </c>
      <c r="D496">
        <v>139000</v>
      </c>
      <c r="E496" s="2">
        <v>43723.788946759261</v>
      </c>
      <c r="F496" s="1" t="str">
        <f>+TEXT(meli[[#This Row],[date_created]],"HH:MM")</f>
        <v>18:56</v>
      </c>
      <c r="G496" t="s">
        <v>1020</v>
      </c>
      <c r="H496" t="s">
        <v>1021</v>
      </c>
      <c r="I496" t="s">
        <v>21</v>
      </c>
    </row>
    <row r="497" spans="1:9" x14ac:dyDescent="0.3">
      <c r="A497" t="s">
        <v>1050</v>
      </c>
      <c r="B497">
        <v>2285</v>
      </c>
      <c r="C497" t="s">
        <v>1051</v>
      </c>
      <c r="D497">
        <v>136000</v>
      </c>
      <c r="E497" s="2">
        <v>44704.374722222223</v>
      </c>
      <c r="F497" s="1" t="str">
        <f>+TEXT(meli[[#This Row],[date_created]],"HH:MM")</f>
        <v>08:59</v>
      </c>
      <c r="G497" t="s">
        <v>1020</v>
      </c>
      <c r="H497" t="s">
        <v>1021</v>
      </c>
      <c r="I497" t="s">
        <v>21</v>
      </c>
    </row>
    <row r="498" spans="1:9" x14ac:dyDescent="0.3">
      <c r="A498" t="s">
        <v>1052</v>
      </c>
      <c r="B498">
        <v>2245</v>
      </c>
      <c r="C498" t="s">
        <v>1053</v>
      </c>
      <c r="D498">
        <v>1407079</v>
      </c>
      <c r="E498" s="2">
        <v>45030.867662037039</v>
      </c>
      <c r="F498" s="1" t="str">
        <f>+TEXT(meli[[#This Row],[date_created]],"HH:MM")</f>
        <v>20:49</v>
      </c>
      <c r="G498" t="s">
        <v>1020</v>
      </c>
      <c r="H498" t="s">
        <v>1021</v>
      </c>
      <c r="I498" t="s">
        <v>21</v>
      </c>
    </row>
    <row r="499" spans="1:9" x14ac:dyDescent="0.3">
      <c r="A499" t="s">
        <v>1054</v>
      </c>
      <c r="B499">
        <v>1850</v>
      </c>
      <c r="C499" t="s">
        <v>1055</v>
      </c>
      <c r="D499">
        <v>76900</v>
      </c>
      <c r="E499" s="2">
        <v>44368.106030092589</v>
      </c>
      <c r="F499" s="1" t="str">
        <f>+TEXT(meli[[#This Row],[date_created]],"HH:MM")</f>
        <v>02:32</v>
      </c>
      <c r="G499" t="s">
        <v>1020</v>
      </c>
      <c r="H499" t="s">
        <v>1021</v>
      </c>
      <c r="I499" t="s">
        <v>21</v>
      </c>
    </row>
    <row r="500" spans="1:9" x14ac:dyDescent="0.3">
      <c r="A500" t="s">
        <v>1056</v>
      </c>
      <c r="B500">
        <v>500</v>
      </c>
      <c r="C500" t="s">
        <v>1057</v>
      </c>
      <c r="D500">
        <v>86490</v>
      </c>
      <c r="E500" s="2">
        <v>43755.546307870369</v>
      </c>
      <c r="F500" s="1" t="str">
        <f>+TEXT(meli[[#This Row],[date_created]],"HH:MM")</f>
        <v>13:06</v>
      </c>
      <c r="G500" t="s">
        <v>1020</v>
      </c>
      <c r="H500" t="s">
        <v>1021</v>
      </c>
      <c r="I500" t="s">
        <v>21</v>
      </c>
    </row>
    <row r="501" spans="1:9" x14ac:dyDescent="0.3">
      <c r="A501" t="s">
        <v>1058</v>
      </c>
      <c r="B501">
        <v>131864</v>
      </c>
      <c r="C501" t="s">
        <v>1059</v>
      </c>
      <c r="D501">
        <v>177120</v>
      </c>
      <c r="E501" s="2">
        <v>44614.668263888889</v>
      </c>
      <c r="F501" s="1" t="str">
        <f>+TEXT(meli[[#This Row],[date_created]],"HH:MM")</f>
        <v>16:02</v>
      </c>
      <c r="G501" t="s">
        <v>1060</v>
      </c>
      <c r="H501" t="s">
        <v>1061</v>
      </c>
      <c r="I501" t="s">
        <v>12</v>
      </c>
    </row>
    <row r="502" spans="1:9" x14ac:dyDescent="0.3">
      <c r="A502" t="s">
        <v>1062</v>
      </c>
      <c r="B502">
        <v>108874</v>
      </c>
      <c r="C502" t="s">
        <v>1063</v>
      </c>
      <c r="D502">
        <v>70290</v>
      </c>
      <c r="E502" s="2">
        <v>43892.44462962963</v>
      </c>
      <c r="F502" s="1" t="str">
        <f>+TEXT(meli[[#This Row],[date_created]],"HH:MM")</f>
        <v>10:40</v>
      </c>
      <c r="G502" t="s">
        <v>1060</v>
      </c>
      <c r="H502" t="s">
        <v>1061</v>
      </c>
      <c r="I502" t="s">
        <v>12</v>
      </c>
    </row>
    <row r="503" spans="1:9" x14ac:dyDescent="0.3">
      <c r="A503" t="s">
        <v>1064</v>
      </c>
      <c r="B503">
        <v>47988</v>
      </c>
      <c r="C503" t="s">
        <v>1065</v>
      </c>
      <c r="D503">
        <v>169990</v>
      </c>
      <c r="E503" s="2">
        <v>44750.030243055553</v>
      </c>
      <c r="F503" s="1" t="str">
        <f>+TEXT(meli[[#This Row],[date_created]],"HH:MM")</f>
        <v>00:43</v>
      </c>
      <c r="G503" t="s">
        <v>1060</v>
      </c>
      <c r="H503" t="s">
        <v>1061</v>
      </c>
      <c r="I503" t="s">
        <v>12</v>
      </c>
    </row>
    <row r="504" spans="1:9" x14ac:dyDescent="0.3">
      <c r="A504" t="s">
        <v>1066</v>
      </c>
      <c r="B504">
        <v>34734</v>
      </c>
      <c r="C504" t="s">
        <v>1067</v>
      </c>
      <c r="D504">
        <v>197590</v>
      </c>
      <c r="E504" s="2">
        <v>44377.393877314818</v>
      </c>
      <c r="F504" s="1" t="str">
        <f>+TEXT(meli[[#This Row],[date_created]],"HH:MM")</f>
        <v>09:27</v>
      </c>
      <c r="G504" t="s">
        <v>1060</v>
      </c>
      <c r="H504" t="s">
        <v>1061</v>
      </c>
      <c r="I504" t="s">
        <v>12</v>
      </c>
    </row>
    <row r="505" spans="1:9" x14ac:dyDescent="0.3">
      <c r="A505" t="s">
        <v>1068</v>
      </c>
      <c r="B505">
        <v>25598</v>
      </c>
      <c r="C505" t="s">
        <v>1069</v>
      </c>
      <c r="D505">
        <v>155900</v>
      </c>
      <c r="E505" s="2">
        <v>44516.604513888888</v>
      </c>
      <c r="F505" s="1" t="str">
        <f>+TEXT(meli[[#This Row],[date_created]],"HH:MM")</f>
        <v>14:30</v>
      </c>
      <c r="G505" t="s">
        <v>1060</v>
      </c>
      <c r="H505" t="s">
        <v>1061</v>
      </c>
      <c r="I505" t="s">
        <v>12</v>
      </c>
    </row>
    <row r="506" spans="1:9" x14ac:dyDescent="0.3">
      <c r="A506" t="s">
        <v>1070</v>
      </c>
      <c r="B506">
        <v>16216</v>
      </c>
      <c r="C506" t="s">
        <v>1071</v>
      </c>
      <c r="D506">
        <v>1220472</v>
      </c>
      <c r="E506" s="2">
        <v>44515.718472222223</v>
      </c>
      <c r="F506" s="1" t="str">
        <f>+TEXT(meli[[#This Row],[date_created]],"HH:MM")</f>
        <v>17:14</v>
      </c>
      <c r="G506" t="s">
        <v>1060</v>
      </c>
      <c r="H506" t="s">
        <v>1061</v>
      </c>
      <c r="I506" t="s">
        <v>12</v>
      </c>
    </row>
    <row r="507" spans="1:9" x14ac:dyDescent="0.3">
      <c r="A507" t="s">
        <v>1072</v>
      </c>
      <c r="B507">
        <v>7913</v>
      </c>
      <c r="C507" t="s">
        <v>1073</v>
      </c>
      <c r="D507">
        <v>209990</v>
      </c>
      <c r="E507" s="2">
        <v>44989.800057870372</v>
      </c>
      <c r="F507" s="1" t="str">
        <f>+TEXT(meli[[#This Row],[date_created]],"HH:MM")</f>
        <v>19:12</v>
      </c>
      <c r="G507" t="s">
        <v>1060</v>
      </c>
      <c r="H507" t="s">
        <v>1061</v>
      </c>
      <c r="I507" t="s">
        <v>12</v>
      </c>
    </row>
    <row r="508" spans="1:9" x14ac:dyDescent="0.3">
      <c r="A508" t="s">
        <v>1074</v>
      </c>
      <c r="B508">
        <v>6008</v>
      </c>
      <c r="C508" t="s">
        <v>1075</v>
      </c>
      <c r="D508">
        <v>144990</v>
      </c>
      <c r="E508" s="2">
        <v>44718.793402777781</v>
      </c>
      <c r="F508" s="1" t="str">
        <f>+TEXT(meli[[#This Row],[date_created]],"HH:MM")</f>
        <v>19:02</v>
      </c>
      <c r="G508" t="s">
        <v>1060</v>
      </c>
      <c r="H508" t="s">
        <v>1061</v>
      </c>
      <c r="I508" t="s">
        <v>12</v>
      </c>
    </row>
    <row r="509" spans="1:9" x14ac:dyDescent="0.3">
      <c r="A509" t="s">
        <v>1076</v>
      </c>
      <c r="B509">
        <v>5000</v>
      </c>
      <c r="C509" t="s">
        <v>1077</v>
      </c>
      <c r="D509">
        <v>79990</v>
      </c>
      <c r="E509" s="2">
        <v>44489.530763888892</v>
      </c>
      <c r="F509" s="1" t="str">
        <f>+TEXT(meli[[#This Row],[date_created]],"HH:MM")</f>
        <v>12:44</v>
      </c>
      <c r="G509" t="s">
        <v>1060</v>
      </c>
      <c r="H509" t="s">
        <v>1061</v>
      </c>
      <c r="I509" t="s">
        <v>21</v>
      </c>
    </row>
    <row r="510" spans="1:9" x14ac:dyDescent="0.3">
      <c r="A510" t="s">
        <v>1078</v>
      </c>
      <c r="B510">
        <v>3010</v>
      </c>
      <c r="C510" t="s">
        <v>1079</v>
      </c>
      <c r="D510">
        <v>48900</v>
      </c>
      <c r="E510" s="2">
        <v>44575.656724537039</v>
      </c>
      <c r="F510" s="1" t="str">
        <f>+TEXT(meli[[#This Row],[date_created]],"HH:MM")</f>
        <v>15:45</v>
      </c>
      <c r="G510" t="s">
        <v>1060</v>
      </c>
      <c r="H510" t="s">
        <v>1061</v>
      </c>
      <c r="I510" t="s">
        <v>21</v>
      </c>
    </row>
    <row r="511" spans="1:9" x14ac:dyDescent="0.3">
      <c r="A511" t="s">
        <v>1080</v>
      </c>
      <c r="B511">
        <v>2000</v>
      </c>
      <c r="C511" t="s">
        <v>1081</v>
      </c>
      <c r="D511">
        <v>153000</v>
      </c>
      <c r="E511" s="2">
        <v>44050.462511574071</v>
      </c>
      <c r="F511" s="1" t="str">
        <f>+TEXT(meli[[#This Row],[date_created]],"HH:MM")</f>
        <v>11:06</v>
      </c>
      <c r="G511" t="s">
        <v>1060</v>
      </c>
      <c r="H511" t="s">
        <v>1061</v>
      </c>
      <c r="I511" t="s">
        <v>21</v>
      </c>
    </row>
    <row r="512" spans="1:9" x14ac:dyDescent="0.3">
      <c r="A512" t="s">
        <v>1082</v>
      </c>
      <c r="B512">
        <v>1500</v>
      </c>
      <c r="C512" t="s">
        <v>1083</v>
      </c>
      <c r="D512">
        <v>152400</v>
      </c>
      <c r="E512" s="2">
        <v>44833.462199074071</v>
      </c>
      <c r="F512" s="1" t="str">
        <f>+TEXT(meli[[#This Row],[date_created]],"HH:MM")</f>
        <v>11:05</v>
      </c>
      <c r="G512" t="s">
        <v>1060</v>
      </c>
      <c r="H512" t="s">
        <v>1061</v>
      </c>
      <c r="I512" t="s">
        <v>21</v>
      </c>
    </row>
    <row r="513" spans="1:9" x14ac:dyDescent="0.3">
      <c r="A513" t="s">
        <v>1084</v>
      </c>
      <c r="B513">
        <v>9750</v>
      </c>
      <c r="C513" t="s">
        <v>1085</v>
      </c>
      <c r="D513">
        <v>18500</v>
      </c>
      <c r="E513" s="2">
        <v>43647.816805555558</v>
      </c>
      <c r="F513" s="1" t="str">
        <f>+TEXT(meli[[#This Row],[date_created]],"HH:MM")</f>
        <v>19:36</v>
      </c>
      <c r="G513" t="s">
        <v>1086</v>
      </c>
      <c r="H513" t="s">
        <v>1087</v>
      </c>
      <c r="I513" t="s">
        <v>21</v>
      </c>
    </row>
    <row r="514" spans="1:9" x14ac:dyDescent="0.3">
      <c r="A514" t="s">
        <v>1088</v>
      </c>
      <c r="B514">
        <v>5000</v>
      </c>
      <c r="C514" t="s">
        <v>1089</v>
      </c>
      <c r="D514">
        <v>15900</v>
      </c>
      <c r="E514" s="2">
        <v>43661.49082175926</v>
      </c>
      <c r="F514" s="1" t="str">
        <f>+TEXT(meli[[#This Row],[date_created]],"HH:MM")</f>
        <v>11:46</v>
      </c>
      <c r="G514" t="s">
        <v>1086</v>
      </c>
      <c r="H514" t="s">
        <v>1087</v>
      </c>
      <c r="I514" t="s">
        <v>21</v>
      </c>
    </row>
    <row r="515" spans="1:9" x14ac:dyDescent="0.3">
      <c r="A515" t="s">
        <v>1090</v>
      </c>
      <c r="B515">
        <v>5000</v>
      </c>
      <c r="C515" t="s">
        <v>1091</v>
      </c>
      <c r="D515">
        <v>307990</v>
      </c>
      <c r="E515" s="2">
        <v>42520.38175925926</v>
      </c>
      <c r="F515" s="1" t="str">
        <f>+TEXT(meli[[#This Row],[date_created]],"HH:MM")</f>
        <v>09:09</v>
      </c>
      <c r="G515" t="s">
        <v>1086</v>
      </c>
      <c r="H515" t="s">
        <v>1087</v>
      </c>
      <c r="I515" t="s">
        <v>21</v>
      </c>
    </row>
    <row r="516" spans="1:9" x14ac:dyDescent="0.3">
      <c r="A516" t="s">
        <v>1092</v>
      </c>
      <c r="B516">
        <v>5000</v>
      </c>
      <c r="C516" t="s">
        <v>1093</v>
      </c>
      <c r="D516">
        <v>23500</v>
      </c>
      <c r="E516" s="2">
        <v>42633.941828703704</v>
      </c>
      <c r="F516" s="1" t="str">
        <f>+TEXT(meli[[#This Row],[date_created]],"HH:MM")</f>
        <v>22:36</v>
      </c>
      <c r="G516" t="s">
        <v>1086</v>
      </c>
      <c r="H516" t="s">
        <v>1087</v>
      </c>
      <c r="I516" t="s">
        <v>21</v>
      </c>
    </row>
    <row r="517" spans="1:9" x14ac:dyDescent="0.3">
      <c r="A517" t="s">
        <v>1094</v>
      </c>
      <c r="B517">
        <v>4750</v>
      </c>
      <c r="C517" t="s">
        <v>1095</v>
      </c>
      <c r="D517">
        <v>16500</v>
      </c>
      <c r="E517" s="2">
        <v>43943.82571759259</v>
      </c>
      <c r="F517" s="1" t="str">
        <f>+TEXT(meli[[#This Row],[date_created]],"HH:MM")</f>
        <v>19:49</v>
      </c>
      <c r="G517" t="s">
        <v>1086</v>
      </c>
      <c r="H517" t="s">
        <v>1087</v>
      </c>
      <c r="I517" t="s">
        <v>21</v>
      </c>
    </row>
    <row r="518" spans="1:9" x14ac:dyDescent="0.3">
      <c r="A518" t="s">
        <v>1096</v>
      </c>
      <c r="B518">
        <v>3750</v>
      </c>
      <c r="C518" t="s">
        <v>1097</v>
      </c>
      <c r="D518">
        <v>8900</v>
      </c>
      <c r="E518" s="2">
        <v>43944.929490740738</v>
      </c>
      <c r="F518" s="1" t="str">
        <f>+TEXT(meli[[#This Row],[date_created]],"HH:MM")</f>
        <v>22:18</v>
      </c>
      <c r="G518" t="s">
        <v>1086</v>
      </c>
      <c r="H518" t="s">
        <v>1087</v>
      </c>
      <c r="I518" t="s">
        <v>21</v>
      </c>
    </row>
    <row r="519" spans="1:9" x14ac:dyDescent="0.3">
      <c r="A519" t="s">
        <v>1098</v>
      </c>
      <c r="B519">
        <v>3400</v>
      </c>
      <c r="C519" t="s">
        <v>1099</v>
      </c>
      <c r="D519">
        <v>15000</v>
      </c>
      <c r="E519" s="2">
        <v>44642.729432870372</v>
      </c>
      <c r="F519" s="1" t="str">
        <f>+TEXT(meli[[#This Row],[date_created]],"HH:MM")</f>
        <v>17:30</v>
      </c>
      <c r="G519" t="s">
        <v>1086</v>
      </c>
      <c r="H519" t="s">
        <v>1087</v>
      </c>
      <c r="I519" t="s">
        <v>21</v>
      </c>
    </row>
    <row r="520" spans="1:9" x14ac:dyDescent="0.3">
      <c r="A520" t="s">
        <v>1100</v>
      </c>
      <c r="B520">
        <v>1105</v>
      </c>
      <c r="C520" t="s">
        <v>1101</v>
      </c>
      <c r="D520">
        <v>17500</v>
      </c>
      <c r="E520" s="2">
        <v>45075.564108796294</v>
      </c>
      <c r="F520" s="1" t="str">
        <f>+TEXT(meli[[#This Row],[date_created]],"HH:MM")</f>
        <v>13:32</v>
      </c>
      <c r="G520" t="s">
        <v>1086</v>
      </c>
      <c r="H520" t="s">
        <v>1087</v>
      </c>
      <c r="I520" t="s">
        <v>21</v>
      </c>
    </row>
    <row r="521" spans="1:9" x14ac:dyDescent="0.3">
      <c r="A521" t="s">
        <v>1102</v>
      </c>
      <c r="B521">
        <v>1056</v>
      </c>
      <c r="C521" t="s">
        <v>1103</v>
      </c>
      <c r="D521">
        <v>9900</v>
      </c>
      <c r="E521" s="2">
        <v>45070.810231481482</v>
      </c>
      <c r="F521" s="1" t="str">
        <f>+TEXT(meli[[#This Row],[date_created]],"HH:MM")</f>
        <v>19:26</v>
      </c>
      <c r="G521" t="s">
        <v>1086</v>
      </c>
      <c r="H521" t="s">
        <v>1087</v>
      </c>
      <c r="I521" t="s">
        <v>21</v>
      </c>
    </row>
    <row r="522" spans="1:9" x14ac:dyDescent="0.3">
      <c r="A522" t="s">
        <v>1104</v>
      </c>
      <c r="B522">
        <v>960</v>
      </c>
      <c r="C522" t="s">
        <v>1105</v>
      </c>
      <c r="D522">
        <v>18100</v>
      </c>
      <c r="E522" s="2">
        <v>44791.409583333334</v>
      </c>
      <c r="F522" s="1" t="str">
        <f>+TEXT(meli[[#This Row],[date_created]],"HH:MM")</f>
        <v>09:49</v>
      </c>
      <c r="G522" t="s">
        <v>1086</v>
      </c>
      <c r="H522" t="s">
        <v>1087</v>
      </c>
      <c r="I522" t="s">
        <v>21</v>
      </c>
    </row>
    <row r="523" spans="1:9" x14ac:dyDescent="0.3">
      <c r="A523" t="s">
        <v>1106</v>
      </c>
      <c r="B523">
        <v>950</v>
      </c>
      <c r="C523" t="s">
        <v>1107</v>
      </c>
      <c r="D523">
        <v>409948</v>
      </c>
      <c r="E523" s="2">
        <v>45011.546712962961</v>
      </c>
      <c r="F523" s="1" t="str">
        <f>+TEXT(meli[[#This Row],[date_created]],"HH:MM")</f>
        <v>13:07</v>
      </c>
      <c r="G523" t="s">
        <v>1086</v>
      </c>
      <c r="H523" t="s">
        <v>1087</v>
      </c>
      <c r="I523" t="s">
        <v>21</v>
      </c>
    </row>
    <row r="524" spans="1:9" x14ac:dyDescent="0.3">
      <c r="A524" t="s">
        <v>1108</v>
      </c>
      <c r="B524">
        <v>885</v>
      </c>
      <c r="C524" t="s">
        <v>1109</v>
      </c>
      <c r="D524">
        <v>632335</v>
      </c>
      <c r="E524" s="2">
        <v>44461.723634259259</v>
      </c>
      <c r="F524" s="1" t="str">
        <f>+TEXT(meli[[#This Row],[date_created]],"HH:MM")</f>
        <v>17:22</v>
      </c>
      <c r="G524" t="s">
        <v>1086</v>
      </c>
      <c r="H524" t="s">
        <v>1087</v>
      </c>
      <c r="I524" t="s">
        <v>21</v>
      </c>
    </row>
    <row r="525" spans="1:9" x14ac:dyDescent="0.3">
      <c r="A525" t="s">
        <v>1110</v>
      </c>
      <c r="B525">
        <v>500</v>
      </c>
      <c r="C525" t="s">
        <v>1111</v>
      </c>
      <c r="D525">
        <v>148000</v>
      </c>
      <c r="E525" s="2">
        <v>44747.433900462966</v>
      </c>
      <c r="F525" s="1" t="str">
        <f>+TEXT(meli[[#This Row],[date_created]],"HH:MM")</f>
        <v>10:24</v>
      </c>
      <c r="G525" t="s">
        <v>1086</v>
      </c>
      <c r="H525" t="s">
        <v>1087</v>
      </c>
      <c r="I525" t="s">
        <v>21</v>
      </c>
    </row>
    <row r="526" spans="1:9" x14ac:dyDescent="0.3">
      <c r="A526" t="s">
        <v>1112</v>
      </c>
      <c r="B526">
        <v>500</v>
      </c>
      <c r="C526" t="s">
        <v>1113</v>
      </c>
      <c r="D526">
        <v>49900</v>
      </c>
      <c r="E526" s="2">
        <v>45070.81009259259</v>
      </c>
      <c r="F526" s="1" t="str">
        <f>+TEXT(meli[[#This Row],[date_created]],"HH:MM")</f>
        <v>19:26</v>
      </c>
      <c r="G526" t="s">
        <v>1086</v>
      </c>
      <c r="H526" t="s">
        <v>1087</v>
      </c>
      <c r="I526" t="s">
        <v>21</v>
      </c>
    </row>
    <row r="527" spans="1:9" x14ac:dyDescent="0.3">
      <c r="A527" t="s">
        <v>1114</v>
      </c>
      <c r="B527">
        <v>500</v>
      </c>
      <c r="C527" t="s">
        <v>1115</v>
      </c>
      <c r="D527">
        <v>59980</v>
      </c>
      <c r="E527" s="2">
        <v>44272.800671296296</v>
      </c>
      <c r="F527" s="1" t="str">
        <f>+TEXT(meli[[#This Row],[date_created]],"HH:MM")</f>
        <v>19:12</v>
      </c>
      <c r="G527" t="s">
        <v>1086</v>
      </c>
      <c r="H527" t="s">
        <v>1087</v>
      </c>
      <c r="I527" t="s">
        <v>21</v>
      </c>
    </row>
    <row r="528" spans="1:9" x14ac:dyDescent="0.3">
      <c r="A528" t="s">
        <v>1116</v>
      </c>
      <c r="B528">
        <v>500</v>
      </c>
      <c r="C528" t="s">
        <v>1117</v>
      </c>
      <c r="D528">
        <v>79999</v>
      </c>
      <c r="E528" s="2">
        <v>44582.906747685185</v>
      </c>
      <c r="F528" s="1" t="str">
        <f>+TEXT(meli[[#This Row],[date_created]],"HH:MM")</f>
        <v>21:45</v>
      </c>
      <c r="G528" t="s">
        <v>1086</v>
      </c>
      <c r="H528" t="s">
        <v>1087</v>
      </c>
      <c r="I528" t="s">
        <v>21</v>
      </c>
    </row>
    <row r="529" spans="1:9" x14ac:dyDescent="0.3">
      <c r="A529" t="s">
        <v>1118</v>
      </c>
      <c r="B529">
        <v>500</v>
      </c>
      <c r="C529" t="s">
        <v>1119</v>
      </c>
      <c r="D529">
        <v>57490</v>
      </c>
      <c r="E529" s="2">
        <v>44744.978171296294</v>
      </c>
      <c r="F529" s="1" t="str">
        <f>+TEXT(meli[[#This Row],[date_created]],"HH:MM")</f>
        <v>23:28</v>
      </c>
      <c r="G529" t="s">
        <v>1086</v>
      </c>
      <c r="H529" t="s">
        <v>1087</v>
      </c>
      <c r="I529" t="s">
        <v>21</v>
      </c>
    </row>
    <row r="530" spans="1:9" x14ac:dyDescent="0.3">
      <c r="A530" t="s">
        <v>1120</v>
      </c>
      <c r="B530">
        <v>500</v>
      </c>
      <c r="C530" t="s">
        <v>1121</v>
      </c>
      <c r="D530">
        <v>13400</v>
      </c>
      <c r="E530" s="2">
        <v>45070.810682870368</v>
      </c>
      <c r="F530" s="1" t="str">
        <f>+TEXT(meli[[#This Row],[date_created]],"HH:MM")</f>
        <v>19:27</v>
      </c>
      <c r="G530" t="s">
        <v>1086</v>
      </c>
      <c r="H530" t="s">
        <v>1087</v>
      </c>
      <c r="I530" t="s">
        <v>21</v>
      </c>
    </row>
    <row r="531" spans="1:9" x14ac:dyDescent="0.3">
      <c r="A531" t="s">
        <v>1122</v>
      </c>
      <c r="B531">
        <v>362</v>
      </c>
      <c r="C531" t="s">
        <v>1123</v>
      </c>
      <c r="D531">
        <v>8500</v>
      </c>
      <c r="E531" s="2">
        <v>44797.654120370367</v>
      </c>
      <c r="F531" s="1" t="str">
        <f>+TEXT(meli[[#This Row],[date_created]],"HH:MM")</f>
        <v>15:41</v>
      </c>
      <c r="G531" t="s">
        <v>1086</v>
      </c>
      <c r="H531" t="s">
        <v>1087</v>
      </c>
      <c r="I531" t="s">
        <v>21</v>
      </c>
    </row>
    <row r="532" spans="1:9" x14ac:dyDescent="0.3">
      <c r="A532" t="s">
        <v>1124</v>
      </c>
      <c r="B532">
        <v>331</v>
      </c>
      <c r="C532" t="s">
        <v>1125</v>
      </c>
      <c r="D532">
        <v>19000</v>
      </c>
      <c r="E532" s="2">
        <v>44987.85832175926</v>
      </c>
      <c r="F532" s="1" t="str">
        <f>+TEXT(meli[[#This Row],[date_created]],"HH:MM")</f>
        <v>20:35</v>
      </c>
      <c r="G532" t="s">
        <v>1086</v>
      </c>
      <c r="H532" t="s">
        <v>1087</v>
      </c>
      <c r="I532" t="s">
        <v>21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62B7A-4143-47F1-8EBB-9D15DD5D5709}">
  <sheetPr codeName="Hoja2">
    <tabColor theme="4" tint="-0.249977111117893"/>
  </sheetPr>
  <dimension ref="A43:R444"/>
  <sheetViews>
    <sheetView showGridLines="0" zoomScale="85" zoomScaleNormal="85" workbookViewId="0">
      <selection activeCell="A70" sqref="A70"/>
    </sheetView>
  </sheetViews>
  <sheetFormatPr baseColWidth="10" defaultRowHeight="14.4" x14ac:dyDescent="0.3"/>
  <cols>
    <col min="1" max="1" width="40.77734375" bestFit="1" customWidth="1"/>
    <col min="2" max="2" width="14" bestFit="1" customWidth="1"/>
    <col min="3" max="3" width="17.6640625" bestFit="1" customWidth="1"/>
    <col min="4" max="4" width="13" bestFit="1" customWidth="1"/>
    <col min="5" max="5" width="12.77734375" bestFit="1" customWidth="1"/>
    <col min="6" max="6" width="15.77734375" bestFit="1" customWidth="1"/>
    <col min="17" max="17" width="5.5546875" bestFit="1" customWidth="1"/>
    <col min="18" max="18" width="17.21875" bestFit="1" customWidth="1"/>
  </cols>
  <sheetData>
    <row r="43" spans="1:2" x14ac:dyDescent="0.3">
      <c r="A43" t="s">
        <v>1127</v>
      </c>
    </row>
    <row r="46" spans="1:2" x14ac:dyDescent="0.3">
      <c r="A46" s="3" t="s">
        <v>1128</v>
      </c>
      <c r="B46" t="s">
        <v>1129</v>
      </c>
    </row>
    <row r="47" spans="1:2" x14ac:dyDescent="0.3">
      <c r="A47" s="4" t="s">
        <v>1130</v>
      </c>
      <c r="B47" s="5">
        <v>9219947</v>
      </c>
    </row>
    <row r="48" spans="1:2" x14ac:dyDescent="0.3">
      <c r="A48" s="4" t="s">
        <v>94</v>
      </c>
      <c r="B48" s="5">
        <v>1500555</v>
      </c>
    </row>
    <row r="49" spans="1:2" x14ac:dyDescent="0.3">
      <c r="A49" s="4" t="s">
        <v>218</v>
      </c>
      <c r="B49" s="5">
        <v>1243583</v>
      </c>
    </row>
    <row r="50" spans="1:2" x14ac:dyDescent="0.3">
      <c r="A50" s="4" t="s">
        <v>384</v>
      </c>
      <c r="B50" s="5">
        <v>1700688</v>
      </c>
    </row>
    <row r="64" spans="1:2" x14ac:dyDescent="0.3">
      <c r="A64" s="3" t="s">
        <v>1132</v>
      </c>
      <c r="B64" t="s">
        <v>1131</v>
      </c>
    </row>
    <row r="65" spans="1:2" x14ac:dyDescent="0.3">
      <c r="A65" s="4" t="s">
        <v>1513</v>
      </c>
      <c r="B65" s="5">
        <v>644060</v>
      </c>
    </row>
    <row r="66" spans="1:2" x14ac:dyDescent="0.3">
      <c r="A66" s="4" t="s">
        <v>1514</v>
      </c>
      <c r="B66" s="5">
        <v>555872</v>
      </c>
    </row>
    <row r="67" spans="1:2" x14ac:dyDescent="0.3">
      <c r="A67" s="4" t="s">
        <v>1515</v>
      </c>
      <c r="B67" s="5">
        <v>325106</v>
      </c>
    </row>
    <row r="68" spans="1:2" x14ac:dyDescent="0.3">
      <c r="A68" s="4" t="s">
        <v>221</v>
      </c>
      <c r="B68" s="5">
        <v>274340</v>
      </c>
    </row>
    <row r="69" spans="1:2" x14ac:dyDescent="0.3">
      <c r="A69" s="4" t="s">
        <v>1516</v>
      </c>
      <c r="B69" s="5">
        <v>265262</v>
      </c>
    </row>
    <row r="81" spans="17:18" x14ac:dyDescent="0.3">
      <c r="R81" t="s">
        <v>1496</v>
      </c>
    </row>
    <row r="82" spans="17:18" x14ac:dyDescent="0.3">
      <c r="Q82" s="4" t="s">
        <v>1133</v>
      </c>
      <c r="R82" s="5">
        <v>41982</v>
      </c>
    </row>
    <row r="83" spans="17:18" x14ac:dyDescent="0.3">
      <c r="Q83" s="4" t="s">
        <v>1134</v>
      </c>
      <c r="R83" s="5">
        <v>5970</v>
      </c>
    </row>
    <row r="84" spans="17:18" x14ac:dyDescent="0.3">
      <c r="Q84" s="4" t="s">
        <v>1135</v>
      </c>
      <c r="R84" s="5">
        <v>47500</v>
      </c>
    </row>
    <row r="85" spans="17:18" x14ac:dyDescent="0.3">
      <c r="Q85" s="4" t="s">
        <v>1136</v>
      </c>
      <c r="R85" s="5">
        <v>1178</v>
      </c>
    </row>
    <row r="86" spans="17:18" x14ac:dyDescent="0.3">
      <c r="Q86" s="4" t="s">
        <v>1137</v>
      </c>
      <c r="R86" s="5">
        <v>22552</v>
      </c>
    </row>
    <row r="87" spans="17:18" x14ac:dyDescent="0.3">
      <c r="Q87" s="4" t="s">
        <v>1138</v>
      </c>
      <c r="R87" s="5">
        <v>47988</v>
      </c>
    </row>
    <row r="88" spans="17:18" x14ac:dyDescent="0.3">
      <c r="Q88" s="4" t="s">
        <v>1139</v>
      </c>
      <c r="R88" s="5">
        <v>500</v>
      </c>
    </row>
    <row r="89" spans="17:18" x14ac:dyDescent="0.3">
      <c r="Q89" s="4" t="s">
        <v>1140</v>
      </c>
      <c r="R89" s="5">
        <v>10670</v>
      </c>
    </row>
    <row r="90" spans="17:18" x14ac:dyDescent="0.3">
      <c r="Q90" s="4" t="s">
        <v>1141</v>
      </c>
      <c r="R90" s="5">
        <v>2926</v>
      </c>
    </row>
    <row r="91" spans="17:18" x14ac:dyDescent="0.3">
      <c r="Q91" s="4" t="s">
        <v>1142</v>
      </c>
      <c r="R91" s="5">
        <v>10317</v>
      </c>
    </row>
    <row r="92" spans="17:18" x14ac:dyDescent="0.3">
      <c r="Q92" s="4" t="s">
        <v>1143</v>
      </c>
      <c r="R92" s="5">
        <v>82</v>
      </c>
    </row>
    <row r="93" spans="17:18" x14ac:dyDescent="0.3">
      <c r="Q93" s="4" t="s">
        <v>1144</v>
      </c>
      <c r="R93" s="5">
        <v>500</v>
      </c>
    </row>
    <row r="94" spans="17:18" x14ac:dyDescent="0.3">
      <c r="Q94" s="4" t="s">
        <v>1145</v>
      </c>
      <c r="R94" s="5">
        <v>5519</v>
      </c>
    </row>
    <row r="95" spans="17:18" x14ac:dyDescent="0.3">
      <c r="Q95" s="4" t="s">
        <v>1146</v>
      </c>
      <c r="R95" s="5">
        <v>11169</v>
      </c>
    </row>
    <row r="96" spans="17:18" x14ac:dyDescent="0.3">
      <c r="Q96" s="4" t="s">
        <v>1147</v>
      </c>
      <c r="R96" s="5">
        <v>4377</v>
      </c>
    </row>
    <row r="97" spans="1:18" x14ac:dyDescent="0.3">
      <c r="Q97" s="4" t="s">
        <v>1148</v>
      </c>
      <c r="R97" s="5">
        <v>1850</v>
      </c>
    </row>
    <row r="98" spans="1:18" x14ac:dyDescent="0.3">
      <c r="Q98" s="4" t="s">
        <v>1149</v>
      </c>
      <c r="R98" s="5">
        <v>5031</v>
      </c>
    </row>
    <row r="99" spans="1:18" x14ac:dyDescent="0.3">
      <c r="Q99" s="4" t="s">
        <v>1150</v>
      </c>
      <c r="R99" s="5">
        <v>12257</v>
      </c>
    </row>
    <row r="100" spans="1:18" x14ac:dyDescent="0.3">
      <c r="Q100" s="4" t="s">
        <v>1151</v>
      </c>
      <c r="R100" s="5">
        <v>64276</v>
      </c>
    </row>
    <row r="101" spans="1:18" x14ac:dyDescent="0.3">
      <c r="Q101" s="4" t="s">
        <v>1152</v>
      </c>
      <c r="R101" s="5">
        <v>15870</v>
      </c>
    </row>
    <row r="102" spans="1:18" x14ac:dyDescent="0.3">
      <c r="Q102" s="4" t="s">
        <v>1153</v>
      </c>
      <c r="R102" s="5">
        <v>502</v>
      </c>
    </row>
    <row r="103" spans="1:18" x14ac:dyDescent="0.3">
      <c r="Q103" s="4" t="s">
        <v>1154</v>
      </c>
      <c r="R103" s="5">
        <v>16848</v>
      </c>
    </row>
    <row r="104" spans="1:18" x14ac:dyDescent="0.3">
      <c r="Q104" s="4" t="s">
        <v>1155</v>
      </c>
      <c r="R104" s="5">
        <v>1144</v>
      </c>
    </row>
    <row r="105" spans="1:18" x14ac:dyDescent="0.3">
      <c r="Q105" s="4" t="s">
        <v>1156</v>
      </c>
      <c r="R105" s="5">
        <v>7967</v>
      </c>
    </row>
    <row r="106" spans="1:18" x14ac:dyDescent="0.3">
      <c r="Q106" s="4" t="s">
        <v>1157</v>
      </c>
      <c r="R106" s="5">
        <v>6724</v>
      </c>
    </row>
    <row r="107" spans="1:18" x14ac:dyDescent="0.3">
      <c r="Q107" s="4" t="s">
        <v>1158</v>
      </c>
      <c r="R107" s="5">
        <v>1256</v>
      </c>
    </row>
    <row r="108" spans="1:18" x14ac:dyDescent="0.3">
      <c r="Q108" s="4" t="s">
        <v>1159</v>
      </c>
      <c r="R108" s="5">
        <v>10642</v>
      </c>
    </row>
    <row r="109" spans="1:18" x14ac:dyDescent="0.3">
      <c r="Q109" s="4" t="s">
        <v>1160</v>
      </c>
      <c r="R109" s="5">
        <v>80</v>
      </c>
    </row>
    <row r="110" spans="1:18" x14ac:dyDescent="0.3">
      <c r="A110" s="3" t="s">
        <v>1498</v>
      </c>
      <c r="B110" t="s">
        <v>1503</v>
      </c>
      <c r="Q110" s="4" t="s">
        <v>1161</v>
      </c>
      <c r="R110" s="5">
        <v>2285</v>
      </c>
    </row>
    <row r="111" spans="1:18" x14ac:dyDescent="0.3">
      <c r="A111" t="s">
        <v>1502</v>
      </c>
      <c r="B111" s="6">
        <v>3255</v>
      </c>
      <c r="Q111" s="4" t="s">
        <v>1162</v>
      </c>
      <c r="R111" s="5">
        <v>2775</v>
      </c>
    </row>
    <row r="112" spans="1:18" x14ac:dyDescent="0.3">
      <c r="A112" s="6" t="s">
        <v>1500</v>
      </c>
      <c r="B112" s="6">
        <v>16276.2</v>
      </c>
      <c r="Q112" s="4" t="s">
        <v>1163</v>
      </c>
      <c r="R112" s="5">
        <v>500</v>
      </c>
    </row>
    <row r="113" spans="1:18" x14ac:dyDescent="0.3">
      <c r="A113" s="6" t="s">
        <v>1499</v>
      </c>
      <c r="B113" s="6">
        <v>17405.45</v>
      </c>
      <c r="Q113" s="4" t="s">
        <v>1164</v>
      </c>
      <c r="R113" s="5">
        <v>5000</v>
      </c>
    </row>
    <row r="114" spans="1:18" x14ac:dyDescent="0.3">
      <c r="A114" s="6" t="s">
        <v>1497</v>
      </c>
      <c r="B114" s="6">
        <v>26449.292089249491</v>
      </c>
      <c r="Q114" s="4" t="s">
        <v>1165</v>
      </c>
      <c r="R114" s="5">
        <v>3</v>
      </c>
    </row>
    <row r="115" spans="1:18" x14ac:dyDescent="0.3">
      <c r="A115" t="s">
        <v>1501</v>
      </c>
      <c r="B115" s="6">
        <v>34126</v>
      </c>
      <c r="Q115" s="4" t="s">
        <v>1166</v>
      </c>
      <c r="R115" s="5">
        <v>69956</v>
      </c>
    </row>
    <row r="116" spans="1:18" x14ac:dyDescent="0.3">
      <c r="Q116" s="4" t="s">
        <v>1167</v>
      </c>
      <c r="R116" s="5">
        <v>2968</v>
      </c>
    </row>
    <row r="117" spans="1:18" x14ac:dyDescent="0.3">
      <c r="Q117" s="4" t="s">
        <v>1168</v>
      </c>
      <c r="R117" s="5">
        <v>24827</v>
      </c>
    </row>
    <row r="118" spans="1:18" x14ac:dyDescent="0.3">
      <c r="Q118" s="4" t="s">
        <v>1169</v>
      </c>
      <c r="R118" s="5">
        <v>500</v>
      </c>
    </row>
    <row r="119" spans="1:18" x14ac:dyDescent="0.3">
      <c r="Q119" s="4" t="s">
        <v>1170</v>
      </c>
      <c r="R119" s="5">
        <v>34734</v>
      </c>
    </row>
    <row r="120" spans="1:18" x14ac:dyDescent="0.3">
      <c r="Q120" s="4" t="s">
        <v>1171</v>
      </c>
      <c r="R120" s="5">
        <v>1195</v>
      </c>
    </row>
    <row r="121" spans="1:18" x14ac:dyDescent="0.3">
      <c r="Q121" s="4" t="s">
        <v>1172</v>
      </c>
      <c r="R121" s="5">
        <v>44416</v>
      </c>
    </row>
    <row r="122" spans="1:18" x14ac:dyDescent="0.3">
      <c r="Q122" s="4" t="s">
        <v>1173</v>
      </c>
      <c r="R122" s="5">
        <v>250</v>
      </c>
    </row>
    <row r="123" spans="1:18" x14ac:dyDescent="0.3">
      <c r="Q123" s="4" t="s">
        <v>1174</v>
      </c>
      <c r="R123" s="5">
        <v>11021</v>
      </c>
    </row>
    <row r="124" spans="1:18" x14ac:dyDescent="0.3">
      <c r="B124" s="3" t="s">
        <v>5</v>
      </c>
      <c r="C124" t="s">
        <v>1517</v>
      </c>
      <c r="Q124" s="4" t="s">
        <v>1175</v>
      </c>
      <c r="R124" s="5">
        <v>1628</v>
      </c>
    </row>
    <row r="125" spans="1:18" x14ac:dyDescent="0.3">
      <c r="Q125" s="4" t="s">
        <v>1176</v>
      </c>
      <c r="R125" s="5">
        <v>4985</v>
      </c>
    </row>
    <row r="126" spans="1:18" x14ac:dyDescent="0.3">
      <c r="B126" t="s">
        <v>1509</v>
      </c>
      <c r="C126" t="s">
        <v>1506</v>
      </c>
      <c r="D126" t="s">
        <v>1507</v>
      </c>
      <c r="E126" t="s">
        <v>1508</v>
      </c>
      <c r="F126" t="s">
        <v>1510</v>
      </c>
      <c r="Q126" s="4" t="s">
        <v>1177</v>
      </c>
      <c r="R126" s="5">
        <v>7612</v>
      </c>
    </row>
    <row r="127" spans="1:18" x14ac:dyDescent="0.3">
      <c r="B127" s="6">
        <v>13664773</v>
      </c>
      <c r="C127" s="6">
        <v>25734.035781544255</v>
      </c>
      <c r="D127" s="6">
        <v>644060</v>
      </c>
      <c r="E127" s="6">
        <v>3</v>
      </c>
      <c r="F127" s="6">
        <v>339832.0527306968</v>
      </c>
      <c r="Q127" s="4" t="s">
        <v>1178</v>
      </c>
      <c r="R127" s="5">
        <v>60211</v>
      </c>
    </row>
    <row r="128" spans="1:18" x14ac:dyDescent="0.3">
      <c r="Q128" s="4" t="s">
        <v>1179</v>
      </c>
      <c r="R128" s="5">
        <v>42883</v>
      </c>
    </row>
    <row r="129" spans="17:18" x14ac:dyDescent="0.3">
      <c r="Q129" s="4" t="s">
        <v>1180</v>
      </c>
      <c r="R129" s="5">
        <v>500</v>
      </c>
    </row>
    <row r="130" spans="17:18" x14ac:dyDescent="0.3">
      <c r="Q130" s="4" t="s">
        <v>1181</v>
      </c>
      <c r="R130" s="5">
        <v>46038</v>
      </c>
    </row>
    <row r="131" spans="17:18" x14ac:dyDescent="0.3">
      <c r="Q131" s="4" t="s">
        <v>1182</v>
      </c>
      <c r="R131" s="5">
        <v>1702</v>
      </c>
    </row>
    <row r="132" spans="17:18" x14ac:dyDescent="0.3">
      <c r="Q132" s="4" t="s">
        <v>1183</v>
      </c>
      <c r="R132" s="5">
        <v>5746</v>
      </c>
    </row>
    <row r="133" spans="17:18" x14ac:dyDescent="0.3">
      <c r="Q133" s="4" t="s">
        <v>1184</v>
      </c>
      <c r="R133" s="5">
        <v>11128</v>
      </c>
    </row>
    <row r="134" spans="17:18" x14ac:dyDescent="0.3">
      <c r="Q134" s="4" t="s">
        <v>1185</v>
      </c>
      <c r="R134" s="5">
        <v>5000</v>
      </c>
    </row>
    <row r="135" spans="17:18" x14ac:dyDescent="0.3">
      <c r="Q135" s="4" t="s">
        <v>1186</v>
      </c>
      <c r="R135" s="5">
        <v>15816</v>
      </c>
    </row>
    <row r="136" spans="17:18" x14ac:dyDescent="0.3">
      <c r="Q136" s="4" t="s">
        <v>1187</v>
      </c>
      <c r="R136" s="5">
        <v>77002</v>
      </c>
    </row>
    <row r="137" spans="17:18" x14ac:dyDescent="0.3">
      <c r="Q137" s="4" t="s">
        <v>1188</v>
      </c>
      <c r="R137" s="5">
        <v>649560</v>
      </c>
    </row>
    <row r="138" spans="17:18" x14ac:dyDescent="0.3">
      <c r="Q138" s="4" t="s">
        <v>1189</v>
      </c>
      <c r="R138" s="5">
        <v>47772</v>
      </c>
    </row>
    <row r="139" spans="17:18" x14ac:dyDescent="0.3">
      <c r="Q139" s="4" t="s">
        <v>1190</v>
      </c>
      <c r="R139" s="5">
        <v>113056</v>
      </c>
    </row>
    <row r="140" spans="17:18" x14ac:dyDescent="0.3">
      <c r="Q140" s="4" t="s">
        <v>1191</v>
      </c>
      <c r="R140" s="5">
        <v>259092</v>
      </c>
    </row>
    <row r="141" spans="17:18" x14ac:dyDescent="0.3">
      <c r="Q141" s="4" t="s">
        <v>1192</v>
      </c>
      <c r="R141" s="5">
        <v>209324</v>
      </c>
    </row>
    <row r="142" spans="17:18" x14ac:dyDescent="0.3">
      <c r="Q142" s="4" t="s">
        <v>1193</v>
      </c>
      <c r="R142" s="5">
        <v>87508</v>
      </c>
    </row>
    <row r="143" spans="17:18" x14ac:dyDescent="0.3">
      <c r="Q143" s="4" t="s">
        <v>1194</v>
      </c>
      <c r="R143" s="5">
        <v>115221</v>
      </c>
    </row>
    <row r="144" spans="17:18" x14ac:dyDescent="0.3">
      <c r="Q144" s="4" t="s">
        <v>1195</v>
      </c>
      <c r="R144" s="5">
        <v>11540</v>
      </c>
    </row>
    <row r="145" spans="17:18" x14ac:dyDescent="0.3">
      <c r="Q145" s="4" t="s">
        <v>1196</v>
      </c>
      <c r="R145" s="5">
        <v>5307</v>
      </c>
    </row>
    <row r="146" spans="17:18" x14ac:dyDescent="0.3">
      <c r="Q146" s="4" t="s">
        <v>1197</v>
      </c>
      <c r="R146" s="5">
        <v>4648</v>
      </c>
    </row>
    <row r="147" spans="17:18" x14ac:dyDescent="0.3">
      <c r="Q147" s="4" t="s">
        <v>1198</v>
      </c>
      <c r="R147" s="5">
        <v>21548</v>
      </c>
    </row>
    <row r="148" spans="17:18" x14ac:dyDescent="0.3">
      <c r="Q148" s="4" t="s">
        <v>1199</v>
      </c>
      <c r="R148" s="5">
        <v>500</v>
      </c>
    </row>
    <row r="149" spans="17:18" x14ac:dyDescent="0.3">
      <c r="Q149" s="4" t="s">
        <v>1200</v>
      </c>
      <c r="R149" s="5">
        <v>5000</v>
      </c>
    </row>
    <row r="150" spans="17:18" x14ac:dyDescent="0.3">
      <c r="Q150" s="4" t="s">
        <v>1201</v>
      </c>
      <c r="R150" s="5">
        <v>2035</v>
      </c>
    </row>
    <row r="151" spans="17:18" x14ac:dyDescent="0.3">
      <c r="Q151" s="4" t="s">
        <v>1202</v>
      </c>
      <c r="R151" s="5">
        <v>4044</v>
      </c>
    </row>
    <row r="152" spans="17:18" x14ac:dyDescent="0.3">
      <c r="Q152" s="4" t="s">
        <v>1203</v>
      </c>
      <c r="R152" s="5">
        <v>8917</v>
      </c>
    </row>
    <row r="153" spans="17:18" x14ac:dyDescent="0.3">
      <c r="Q153" s="4" t="s">
        <v>1204</v>
      </c>
      <c r="R153" s="5">
        <v>1007</v>
      </c>
    </row>
    <row r="154" spans="17:18" x14ac:dyDescent="0.3">
      <c r="Q154" s="4" t="s">
        <v>1205</v>
      </c>
      <c r="R154" s="5">
        <v>1500</v>
      </c>
    </row>
    <row r="155" spans="17:18" x14ac:dyDescent="0.3">
      <c r="Q155" s="4" t="s">
        <v>1206</v>
      </c>
      <c r="R155" s="5">
        <v>2500</v>
      </c>
    </row>
    <row r="156" spans="17:18" x14ac:dyDescent="0.3">
      <c r="Q156" s="4" t="s">
        <v>1207</v>
      </c>
      <c r="R156" s="5">
        <v>8429</v>
      </c>
    </row>
    <row r="157" spans="17:18" x14ac:dyDescent="0.3">
      <c r="Q157" s="4" t="s">
        <v>1208</v>
      </c>
      <c r="R157" s="5">
        <v>33215</v>
      </c>
    </row>
    <row r="158" spans="17:18" x14ac:dyDescent="0.3">
      <c r="Q158" s="4" t="s">
        <v>1209</v>
      </c>
      <c r="R158" s="5">
        <v>831094</v>
      </c>
    </row>
    <row r="159" spans="17:18" x14ac:dyDescent="0.3">
      <c r="Q159" s="4" t="s">
        <v>1210</v>
      </c>
      <c r="R159" s="5">
        <v>142692</v>
      </c>
    </row>
    <row r="160" spans="17:18" x14ac:dyDescent="0.3">
      <c r="Q160" s="4" t="s">
        <v>1211</v>
      </c>
      <c r="R160" s="5">
        <v>24168</v>
      </c>
    </row>
    <row r="161" spans="17:18" x14ac:dyDescent="0.3">
      <c r="Q161" s="4" t="s">
        <v>1212</v>
      </c>
      <c r="R161" s="5">
        <v>69520</v>
      </c>
    </row>
    <row r="162" spans="17:18" x14ac:dyDescent="0.3">
      <c r="Q162" s="4" t="s">
        <v>1213</v>
      </c>
      <c r="R162" s="5">
        <v>500</v>
      </c>
    </row>
    <row r="163" spans="17:18" x14ac:dyDescent="0.3">
      <c r="Q163" s="4" t="s">
        <v>1214</v>
      </c>
      <c r="R163" s="5">
        <v>15032</v>
      </c>
    </row>
    <row r="164" spans="17:18" x14ac:dyDescent="0.3">
      <c r="Q164" s="4" t="s">
        <v>1215</v>
      </c>
      <c r="R164" s="5">
        <v>1000</v>
      </c>
    </row>
    <row r="165" spans="17:18" x14ac:dyDescent="0.3">
      <c r="Q165" s="4" t="s">
        <v>1216</v>
      </c>
      <c r="R165" s="5">
        <v>114651</v>
      </c>
    </row>
    <row r="166" spans="17:18" x14ac:dyDescent="0.3">
      <c r="Q166" s="4" t="s">
        <v>1217</v>
      </c>
      <c r="R166" s="5">
        <v>5700</v>
      </c>
    </row>
    <row r="167" spans="17:18" x14ac:dyDescent="0.3">
      <c r="Q167" s="4" t="s">
        <v>1218</v>
      </c>
      <c r="R167" s="5">
        <v>500</v>
      </c>
    </row>
    <row r="168" spans="17:18" x14ac:dyDescent="0.3">
      <c r="Q168" s="4" t="s">
        <v>1219</v>
      </c>
      <c r="R168" s="5">
        <v>8161</v>
      </c>
    </row>
    <row r="169" spans="17:18" x14ac:dyDescent="0.3">
      <c r="Q169" s="4" t="s">
        <v>1220</v>
      </c>
      <c r="R169" s="5">
        <v>195192</v>
      </c>
    </row>
    <row r="170" spans="17:18" x14ac:dyDescent="0.3">
      <c r="Q170" s="4" t="s">
        <v>1221</v>
      </c>
      <c r="R170" s="5">
        <v>40810</v>
      </c>
    </row>
    <row r="171" spans="17:18" x14ac:dyDescent="0.3">
      <c r="Q171" s="4" t="s">
        <v>1222</v>
      </c>
      <c r="R171" s="5">
        <v>5000</v>
      </c>
    </row>
    <row r="172" spans="17:18" x14ac:dyDescent="0.3">
      <c r="Q172" s="4" t="s">
        <v>1223</v>
      </c>
      <c r="R172" s="5">
        <v>500</v>
      </c>
    </row>
    <row r="173" spans="17:18" x14ac:dyDescent="0.3">
      <c r="Q173" s="4" t="s">
        <v>1224</v>
      </c>
      <c r="R173" s="5">
        <v>6664</v>
      </c>
    </row>
    <row r="174" spans="17:18" x14ac:dyDescent="0.3">
      <c r="Q174" s="4" t="s">
        <v>1225</v>
      </c>
      <c r="R174" s="5">
        <v>170052</v>
      </c>
    </row>
    <row r="175" spans="17:18" x14ac:dyDescent="0.3">
      <c r="Q175" s="4" t="s">
        <v>1226</v>
      </c>
      <c r="R175" s="5">
        <v>250</v>
      </c>
    </row>
    <row r="176" spans="17:18" x14ac:dyDescent="0.3">
      <c r="Q176" s="4" t="s">
        <v>1227</v>
      </c>
      <c r="R176" s="5">
        <v>60968</v>
      </c>
    </row>
    <row r="177" spans="17:18" x14ac:dyDescent="0.3">
      <c r="Q177" s="4" t="s">
        <v>1228</v>
      </c>
      <c r="R177" s="5">
        <v>84086</v>
      </c>
    </row>
    <row r="178" spans="17:18" x14ac:dyDescent="0.3">
      <c r="Q178" s="4" t="s">
        <v>1229</v>
      </c>
      <c r="R178" s="5">
        <v>146240</v>
      </c>
    </row>
    <row r="179" spans="17:18" x14ac:dyDescent="0.3">
      <c r="Q179" s="4" t="s">
        <v>1230</v>
      </c>
      <c r="R179" s="5">
        <v>410</v>
      </c>
    </row>
    <row r="180" spans="17:18" x14ac:dyDescent="0.3">
      <c r="Q180" s="4" t="s">
        <v>1231</v>
      </c>
      <c r="R180" s="5">
        <v>525</v>
      </c>
    </row>
    <row r="181" spans="17:18" x14ac:dyDescent="0.3">
      <c r="Q181" s="4" t="s">
        <v>1232</v>
      </c>
      <c r="R181" s="5">
        <v>34291</v>
      </c>
    </row>
    <row r="182" spans="17:18" x14ac:dyDescent="0.3">
      <c r="Q182" s="4" t="s">
        <v>1233</v>
      </c>
      <c r="R182" s="5">
        <v>105949</v>
      </c>
    </row>
    <row r="183" spans="17:18" x14ac:dyDescent="0.3">
      <c r="Q183" s="4" t="s">
        <v>1234</v>
      </c>
      <c r="R183" s="5">
        <v>19082</v>
      </c>
    </row>
    <row r="184" spans="17:18" x14ac:dyDescent="0.3">
      <c r="Q184" s="4" t="s">
        <v>1235</v>
      </c>
      <c r="R184" s="5">
        <v>28130</v>
      </c>
    </row>
    <row r="185" spans="17:18" x14ac:dyDescent="0.3">
      <c r="Q185" s="4" t="s">
        <v>1236</v>
      </c>
      <c r="R185" s="5">
        <v>8749</v>
      </c>
    </row>
    <row r="186" spans="17:18" x14ac:dyDescent="0.3">
      <c r="Q186" s="4" t="s">
        <v>1237</v>
      </c>
      <c r="R186" s="5">
        <v>5000</v>
      </c>
    </row>
    <row r="187" spans="17:18" x14ac:dyDescent="0.3">
      <c r="Q187" s="4" t="s">
        <v>1238</v>
      </c>
      <c r="R187" s="5">
        <v>72092</v>
      </c>
    </row>
    <row r="188" spans="17:18" x14ac:dyDescent="0.3">
      <c r="Q188" s="4" t="s">
        <v>1239</v>
      </c>
      <c r="R188" s="5">
        <v>52038</v>
      </c>
    </row>
    <row r="189" spans="17:18" x14ac:dyDescent="0.3">
      <c r="Q189" s="4" t="s">
        <v>1240</v>
      </c>
      <c r="R189" s="5">
        <v>10001</v>
      </c>
    </row>
    <row r="190" spans="17:18" x14ac:dyDescent="0.3">
      <c r="Q190" s="4" t="s">
        <v>1241</v>
      </c>
      <c r="R190" s="5">
        <v>730</v>
      </c>
    </row>
    <row r="191" spans="17:18" x14ac:dyDescent="0.3">
      <c r="Q191" s="4" t="s">
        <v>1242</v>
      </c>
      <c r="R191" s="5">
        <v>28191</v>
      </c>
    </row>
    <row r="192" spans="17:18" x14ac:dyDescent="0.3">
      <c r="Q192" s="4" t="s">
        <v>1243</v>
      </c>
      <c r="R192" s="5">
        <v>34866</v>
      </c>
    </row>
    <row r="193" spans="17:18" x14ac:dyDescent="0.3">
      <c r="Q193" s="4" t="s">
        <v>1244</v>
      </c>
      <c r="R193" s="5">
        <v>7582</v>
      </c>
    </row>
    <row r="194" spans="17:18" x14ac:dyDescent="0.3">
      <c r="Q194" s="4" t="s">
        <v>1245</v>
      </c>
      <c r="R194" s="5">
        <v>500</v>
      </c>
    </row>
    <row r="195" spans="17:18" x14ac:dyDescent="0.3">
      <c r="Q195" s="4" t="s">
        <v>1246</v>
      </c>
      <c r="R195" s="5">
        <v>10337</v>
      </c>
    </row>
    <row r="196" spans="17:18" x14ac:dyDescent="0.3">
      <c r="Q196" s="4" t="s">
        <v>1247</v>
      </c>
      <c r="R196" s="5">
        <v>500</v>
      </c>
    </row>
    <row r="197" spans="17:18" x14ac:dyDescent="0.3">
      <c r="Q197" s="4" t="s">
        <v>1248</v>
      </c>
      <c r="R197" s="5">
        <v>52686</v>
      </c>
    </row>
    <row r="198" spans="17:18" x14ac:dyDescent="0.3">
      <c r="Q198" s="4" t="s">
        <v>1249</v>
      </c>
      <c r="R198" s="5">
        <v>500</v>
      </c>
    </row>
    <row r="199" spans="17:18" x14ac:dyDescent="0.3">
      <c r="Q199" s="4" t="s">
        <v>1250</v>
      </c>
      <c r="R199" s="5">
        <v>5000</v>
      </c>
    </row>
    <row r="200" spans="17:18" x14ac:dyDescent="0.3">
      <c r="Q200" s="4" t="s">
        <v>1251</v>
      </c>
      <c r="R200" s="5">
        <v>46258</v>
      </c>
    </row>
    <row r="201" spans="17:18" x14ac:dyDescent="0.3">
      <c r="Q201" s="4" t="s">
        <v>1252</v>
      </c>
      <c r="R201" s="5">
        <v>5000</v>
      </c>
    </row>
    <row r="202" spans="17:18" x14ac:dyDescent="0.3">
      <c r="Q202" s="4" t="s">
        <v>1253</v>
      </c>
      <c r="R202" s="5">
        <v>8086</v>
      </c>
    </row>
    <row r="203" spans="17:18" x14ac:dyDescent="0.3">
      <c r="Q203" s="4" t="s">
        <v>1254</v>
      </c>
      <c r="R203" s="5">
        <v>5000</v>
      </c>
    </row>
    <row r="204" spans="17:18" x14ac:dyDescent="0.3">
      <c r="Q204" s="4" t="s">
        <v>1255</v>
      </c>
      <c r="R204" s="5">
        <v>5500</v>
      </c>
    </row>
    <row r="205" spans="17:18" x14ac:dyDescent="0.3">
      <c r="Q205" s="4" t="s">
        <v>1256</v>
      </c>
      <c r="R205" s="5">
        <v>88178</v>
      </c>
    </row>
    <row r="206" spans="17:18" x14ac:dyDescent="0.3">
      <c r="Q206" s="4" t="s">
        <v>1257</v>
      </c>
      <c r="R206" s="5">
        <v>500</v>
      </c>
    </row>
    <row r="207" spans="17:18" x14ac:dyDescent="0.3">
      <c r="Q207" s="4" t="s">
        <v>1258</v>
      </c>
      <c r="R207" s="5">
        <v>35654</v>
      </c>
    </row>
    <row r="208" spans="17:18" x14ac:dyDescent="0.3">
      <c r="Q208" s="4" t="s">
        <v>1259</v>
      </c>
      <c r="R208" s="5">
        <v>23452</v>
      </c>
    </row>
    <row r="209" spans="17:18" x14ac:dyDescent="0.3">
      <c r="Q209" s="4" t="s">
        <v>1260</v>
      </c>
      <c r="R209" s="5">
        <v>43784</v>
      </c>
    </row>
    <row r="210" spans="17:18" x14ac:dyDescent="0.3">
      <c r="Q210" s="4" t="s">
        <v>1261</v>
      </c>
      <c r="R210" s="5">
        <v>21182</v>
      </c>
    </row>
    <row r="211" spans="17:18" x14ac:dyDescent="0.3">
      <c r="Q211" s="4" t="s">
        <v>1262</v>
      </c>
      <c r="R211" s="5">
        <v>28180</v>
      </c>
    </row>
    <row r="212" spans="17:18" x14ac:dyDescent="0.3">
      <c r="Q212" s="4" t="s">
        <v>1263</v>
      </c>
      <c r="R212" s="5">
        <v>5726</v>
      </c>
    </row>
    <row r="213" spans="17:18" x14ac:dyDescent="0.3">
      <c r="Q213" s="4" t="s">
        <v>1264</v>
      </c>
      <c r="R213" s="5">
        <v>226394</v>
      </c>
    </row>
    <row r="214" spans="17:18" x14ac:dyDescent="0.3">
      <c r="Q214" s="4" t="s">
        <v>1265</v>
      </c>
      <c r="R214" s="5">
        <v>46410</v>
      </c>
    </row>
    <row r="215" spans="17:18" x14ac:dyDescent="0.3">
      <c r="Q215" s="4" t="s">
        <v>1266</v>
      </c>
      <c r="R215" s="5">
        <v>250</v>
      </c>
    </row>
    <row r="216" spans="17:18" x14ac:dyDescent="0.3">
      <c r="Q216" s="4" t="s">
        <v>1267</v>
      </c>
      <c r="R216" s="5">
        <v>77345</v>
      </c>
    </row>
    <row r="217" spans="17:18" x14ac:dyDescent="0.3">
      <c r="Q217" s="4" t="s">
        <v>1268</v>
      </c>
      <c r="R217" s="5">
        <v>1105</v>
      </c>
    </row>
    <row r="218" spans="17:18" x14ac:dyDescent="0.3">
      <c r="Q218" s="4" t="s">
        <v>1269</v>
      </c>
      <c r="R218" s="5">
        <v>116726</v>
      </c>
    </row>
    <row r="219" spans="17:18" x14ac:dyDescent="0.3">
      <c r="Q219" s="4" t="s">
        <v>1270</v>
      </c>
      <c r="R219" s="5">
        <v>5450</v>
      </c>
    </row>
    <row r="220" spans="17:18" x14ac:dyDescent="0.3">
      <c r="Q220" s="4" t="s">
        <v>1271</v>
      </c>
      <c r="R220" s="5">
        <v>5000</v>
      </c>
    </row>
    <row r="221" spans="17:18" x14ac:dyDescent="0.3">
      <c r="Q221" s="4" t="s">
        <v>1272</v>
      </c>
      <c r="R221" s="5">
        <v>20208</v>
      </c>
    </row>
    <row r="222" spans="17:18" x14ac:dyDescent="0.3">
      <c r="Q222" s="4" t="s">
        <v>1273</v>
      </c>
      <c r="R222" s="5">
        <v>1000</v>
      </c>
    </row>
    <row r="223" spans="17:18" x14ac:dyDescent="0.3">
      <c r="Q223" s="4" t="s">
        <v>1274</v>
      </c>
      <c r="R223" s="5">
        <v>4250</v>
      </c>
    </row>
    <row r="224" spans="17:18" x14ac:dyDescent="0.3">
      <c r="Q224" s="4" t="s">
        <v>1275</v>
      </c>
      <c r="R224" s="5">
        <v>500</v>
      </c>
    </row>
    <row r="225" spans="17:18" x14ac:dyDescent="0.3">
      <c r="Q225" s="4" t="s">
        <v>1276</v>
      </c>
      <c r="R225" s="5">
        <v>1362</v>
      </c>
    </row>
    <row r="226" spans="17:18" x14ac:dyDescent="0.3">
      <c r="Q226" s="4" t="s">
        <v>1277</v>
      </c>
      <c r="R226" s="5">
        <v>17399</v>
      </c>
    </row>
    <row r="227" spans="17:18" x14ac:dyDescent="0.3">
      <c r="Q227" s="4" t="s">
        <v>1278</v>
      </c>
      <c r="R227" s="5">
        <v>7731</v>
      </c>
    </row>
    <row r="228" spans="17:18" x14ac:dyDescent="0.3">
      <c r="Q228" s="4" t="s">
        <v>1279</v>
      </c>
      <c r="R228" s="5">
        <v>50000</v>
      </c>
    </row>
    <row r="229" spans="17:18" x14ac:dyDescent="0.3">
      <c r="Q229" s="4" t="s">
        <v>1280</v>
      </c>
      <c r="R229" s="5">
        <v>3993</v>
      </c>
    </row>
    <row r="230" spans="17:18" x14ac:dyDescent="0.3">
      <c r="Q230" s="4" t="s">
        <v>1281</v>
      </c>
      <c r="R230" s="5">
        <v>11971</v>
      </c>
    </row>
    <row r="231" spans="17:18" x14ac:dyDescent="0.3">
      <c r="Q231" s="4" t="s">
        <v>1282</v>
      </c>
      <c r="R231" s="5">
        <v>25502</v>
      </c>
    </row>
    <row r="232" spans="17:18" x14ac:dyDescent="0.3">
      <c r="Q232" s="4" t="s">
        <v>1283</v>
      </c>
      <c r="R232" s="5">
        <v>18397</v>
      </c>
    </row>
    <row r="233" spans="17:18" x14ac:dyDescent="0.3">
      <c r="Q233" s="4" t="s">
        <v>1284</v>
      </c>
      <c r="R233" s="5">
        <v>7975</v>
      </c>
    </row>
    <row r="234" spans="17:18" x14ac:dyDescent="0.3">
      <c r="Q234" s="4" t="s">
        <v>1285</v>
      </c>
      <c r="R234" s="5">
        <v>54678</v>
      </c>
    </row>
    <row r="235" spans="17:18" x14ac:dyDescent="0.3">
      <c r="Q235" s="4" t="s">
        <v>1286</v>
      </c>
      <c r="R235" s="5">
        <v>60</v>
      </c>
    </row>
    <row r="236" spans="17:18" x14ac:dyDescent="0.3">
      <c r="Q236" s="4" t="s">
        <v>1287</v>
      </c>
      <c r="R236" s="5">
        <v>8396</v>
      </c>
    </row>
    <row r="237" spans="17:18" x14ac:dyDescent="0.3">
      <c r="Q237" s="4" t="s">
        <v>1288</v>
      </c>
      <c r="R237" s="5">
        <v>33824</v>
      </c>
    </row>
    <row r="238" spans="17:18" x14ac:dyDescent="0.3">
      <c r="Q238" s="4" t="s">
        <v>1289</v>
      </c>
      <c r="R238" s="5">
        <v>500</v>
      </c>
    </row>
    <row r="239" spans="17:18" x14ac:dyDescent="0.3">
      <c r="Q239" s="4" t="s">
        <v>1290</v>
      </c>
      <c r="R239" s="5">
        <v>4400</v>
      </c>
    </row>
    <row r="240" spans="17:18" x14ac:dyDescent="0.3">
      <c r="Q240" s="4" t="s">
        <v>1291</v>
      </c>
      <c r="R240" s="5">
        <v>976</v>
      </c>
    </row>
    <row r="241" spans="17:18" x14ac:dyDescent="0.3">
      <c r="Q241" s="4" t="s">
        <v>1292</v>
      </c>
      <c r="R241" s="5">
        <v>755</v>
      </c>
    </row>
    <row r="242" spans="17:18" x14ac:dyDescent="0.3">
      <c r="Q242" s="4" t="s">
        <v>1293</v>
      </c>
      <c r="R242" s="5">
        <v>45066</v>
      </c>
    </row>
    <row r="243" spans="17:18" x14ac:dyDescent="0.3">
      <c r="Q243" s="4" t="s">
        <v>1294</v>
      </c>
      <c r="R243" s="5">
        <v>53468</v>
      </c>
    </row>
    <row r="244" spans="17:18" x14ac:dyDescent="0.3">
      <c r="Q244" s="4" t="s">
        <v>1295</v>
      </c>
      <c r="R244" s="5">
        <v>25598</v>
      </c>
    </row>
    <row r="245" spans="17:18" x14ac:dyDescent="0.3">
      <c r="Q245" s="4" t="s">
        <v>1296</v>
      </c>
      <c r="R245" s="5">
        <v>174394</v>
      </c>
    </row>
    <row r="246" spans="17:18" x14ac:dyDescent="0.3">
      <c r="Q246" s="4" t="s">
        <v>1297</v>
      </c>
      <c r="R246" s="5">
        <v>500</v>
      </c>
    </row>
    <row r="247" spans="17:18" x14ac:dyDescent="0.3">
      <c r="Q247" s="4" t="s">
        <v>1298</v>
      </c>
      <c r="R247" s="5">
        <v>45109</v>
      </c>
    </row>
    <row r="248" spans="17:18" x14ac:dyDescent="0.3">
      <c r="Q248" s="4" t="s">
        <v>1299</v>
      </c>
      <c r="R248" s="5">
        <v>3206</v>
      </c>
    </row>
    <row r="249" spans="17:18" x14ac:dyDescent="0.3">
      <c r="Q249" s="4" t="s">
        <v>1300</v>
      </c>
      <c r="R249" s="5">
        <v>2150</v>
      </c>
    </row>
    <row r="250" spans="17:18" x14ac:dyDescent="0.3">
      <c r="Q250" s="4" t="s">
        <v>1301</v>
      </c>
      <c r="R250" s="5">
        <v>4000</v>
      </c>
    </row>
    <row r="251" spans="17:18" x14ac:dyDescent="0.3">
      <c r="Q251" s="4" t="s">
        <v>1302</v>
      </c>
      <c r="R251" s="5">
        <v>5000</v>
      </c>
    </row>
    <row r="252" spans="17:18" x14ac:dyDescent="0.3">
      <c r="Q252" s="4" t="s">
        <v>1303</v>
      </c>
      <c r="R252" s="5">
        <v>42605</v>
      </c>
    </row>
    <row r="253" spans="17:18" x14ac:dyDescent="0.3">
      <c r="Q253" s="4" t="s">
        <v>1304</v>
      </c>
      <c r="R253" s="5">
        <v>500</v>
      </c>
    </row>
    <row r="254" spans="17:18" x14ac:dyDescent="0.3">
      <c r="Q254" s="4" t="s">
        <v>1305</v>
      </c>
      <c r="R254" s="5">
        <v>4120</v>
      </c>
    </row>
    <row r="255" spans="17:18" x14ac:dyDescent="0.3">
      <c r="Q255" s="4" t="s">
        <v>1306</v>
      </c>
      <c r="R255" s="5">
        <v>75949</v>
      </c>
    </row>
    <row r="256" spans="17:18" x14ac:dyDescent="0.3">
      <c r="Q256" s="4" t="s">
        <v>1307</v>
      </c>
      <c r="R256" s="5">
        <v>14713</v>
      </c>
    </row>
    <row r="257" spans="17:18" x14ac:dyDescent="0.3">
      <c r="Q257" s="4" t="s">
        <v>1308</v>
      </c>
      <c r="R257" s="5">
        <v>455</v>
      </c>
    </row>
    <row r="258" spans="17:18" x14ac:dyDescent="0.3">
      <c r="Q258" s="4" t="s">
        <v>1309</v>
      </c>
      <c r="R258" s="5">
        <v>48091</v>
      </c>
    </row>
    <row r="259" spans="17:18" x14ac:dyDescent="0.3">
      <c r="Q259" s="4" t="s">
        <v>1310</v>
      </c>
      <c r="R259" s="5">
        <v>315494</v>
      </c>
    </row>
    <row r="260" spans="17:18" x14ac:dyDescent="0.3">
      <c r="Q260" s="4" t="s">
        <v>1311</v>
      </c>
      <c r="R260" s="5">
        <v>53734</v>
      </c>
    </row>
    <row r="261" spans="17:18" x14ac:dyDescent="0.3">
      <c r="Q261" s="4" t="s">
        <v>1312</v>
      </c>
      <c r="R261" s="5">
        <v>533</v>
      </c>
    </row>
    <row r="262" spans="17:18" x14ac:dyDescent="0.3">
      <c r="Q262" s="4" t="s">
        <v>1313</v>
      </c>
      <c r="R262" s="5">
        <v>6326</v>
      </c>
    </row>
    <row r="263" spans="17:18" x14ac:dyDescent="0.3">
      <c r="Q263" s="4" t="s">
        <v>1314</v>
      </c>
      <c r="R263" s="5">
        <v>5500</v>
      </c>
    </row>
    <row r="264" spans="17:18" x14ac:dyDescent="0.3">
      <c r="Q264" s="4" t="s">
        <v>1315</v>
      </c>
      <c r="R264" s="5">
        <v>17179</v>
      </c>
    </row>
    <row r="265" spans="17:18" x14ac:dyDescent="0.3">
      <c r="Q265" s="4" t="s">
        <v>1316</v>
      </c>
      <c r="R265" s="5">
        <v>52049</v>
      </c>
    </row>
    <row r="266" spans="17:18" x14ac:dyDescent="0.3">
      <c r="Q266" s="4" t="s">
        <v>1317</v>
      </c>
      <c r="R266" s="5">
        <v>23442</v>
      </c>
    </row>
    <row r="267" spans="17:18" x14ac:dyDescent="0.3">
      <c r="Q267" s="4" t="s">
        <v>1318</v>
      </c>
      <c r="R267" s="5">
        <v>100</v>
      </c>
    </row>
    <row r="268" spans="17:18" x14ac:dyDescent="0.3">
      <c r="Q268" s="4" t="s">
        <v>1319</v>
      </c>
      <c r="R268" s="5">
        <v>71768</v>
      </c>
    </row>
    <row r="269" spans="17:18" x14ac:dyDescent="0.3">
      <c r="Q269" s="4" t="s">
        <v>1320</v>
      </c>
      <c r="R269" s="5">
        <v>121198</v>
      </c>
    </row>
    <row r="270" spans="17:18" x14ac:dyDescent="0.3">
      <c r="Q270" s="4" t="s">
        <v>1321</v>
      </c>
      <c r="R270" s="5">
        <v>613314</v>
      </c>
    </row>
    <row r="271" spans="17:18" x14ac:dyDescent="0.3">
      <c r="Q271" s="4" t="s">
        <v>1322</v>
      </c>
      <c r="R271" s="5">
        <v>8755</v>
      </c>
    </row>
    <row r="272" spans="17:18" x14ac:dyDescent="0.3">
      <c r="Q272" s="4" t="s">
        <v>1323</v>
      </c>
      <c r="R272" s="5">
        <v>9900</v>
      </c>
    </row>
    <row r="273" spans="17:18" x14ac:dyDescent="0.3">
      <c r="Q273" s="4" t="s">
        <v>1324</v>
      </c>
      <c r="R273" s="5">
        <v>54835</v>
      </c>
    </row>
    <row r="274" spans="17:18" x14ac:dyDescent="0.3">
      <c r="Q274" s="4" t="s">
        <v>1325</v>
      </c>
      <c r="R274" s="5">
        <v>73254</v>
      </c>
    </row>
    <row r="275" spans="17:18" x14ac:dyDescent="0.3">
      <c r="Q275" s="4" t="s">
        <v>1326</v>
      </c>
      <c r="R275" s="5">
        <v>2130</v>
      </c>
    </row>
    <row r="276" spans="17:18" x14ac:dyDescent="0.3">
      <c r="Q276" s="4" t="s">
        <v>1327</v>
      </c>
      <c r="R276" s="5">
        <v>862</v>
      </c>
    </row>
    <row r="277" spans="17:18" x14ac:dyDescent="0.3">
      <c r="Q277" s="4" t="s">
        <v>1328</v>
      </c>
      <c r="R277" s="5">
        <v>100</v>
      </c>
    </row>
    <row r="278" spans="17:18" x14ac:dyDescent="0.3">
      <c r="Q278" s="4" t="s">
        <v>1329</v>
      </c>
      <c r="R278" s="5">
        <v>8010</v>
      </c>
    </row>
    <row r="279" spans="17:18" x14ac:dyDescent="0.3">
      <c r="Q279" s="4" t="s">
        <v>1330</v>
      </c>
      <c r="R279" s="5">
        <v>200</v>
      </c>
    </row>
    <row r="280" spans="17:18" x14ac:dyDescent="0.3">
      <c r="Q280" s="4" t="s">
        <v>1331</v>
      </c>
      <c r="R280" s="5">
        <v>20266</v>
      </c>
    </row>
    <row r="281" spans="17:18" x14ac:dyDescent="0.3">
      <c r="Q281" s="4" t="s">
        <v>1332</v>
      </c>
      <c r="R281" s="5">
        <v>4047</v>
      </c>
    </row>
    <row r="282" spans="17:18" x14ac:dyDescent="0.3">
      <c r="Q282" s="4" t="s">
        <v>1333</v>
      </c>
      <c r="R282" s="5">
        <v>5000</v>
      </c>
    </row>
    <row r="283" spans="17:18" x14ac:dyDescent="0.3">
      <c r="Q283" s="4" t="s">
        <v>1334</v>
      </c>
      <c r="R283" s="5">
        <v>158424</v>
      </c>
    </row>
    <row r="284" spans="17:18" x14ac:dyDescent="0.3">
      <c r="Q284" s="4" t="s">
        <v>1335</v>
      </c>
      <c r="R284" s="5">
        <v>64136</v>
      </c>
    </row>
    <row r="285" spans="17:18" x14ac:dyDescent="0.3">
      <c r="Q285" s="4" t="s">
        <v>1336</v>
      </c>
      <c r="R285" s="5">
        <v>132364</v>
      </c>
    </row>
    <row r="286" spans="17:18" x14ac:dyDescent="0.3">
      <c r="Q286" s="4" t="s">
        <v>1337</v>
      </c>
      <c r="R286" s="5">
        <v>13426</v>
      </c>
    </row>
    <row r="287" spans="17:18" x14ac:dyDescent="0.3">
      <c r="Q287" s="4" t="s">
        <v>1338</v>
      </c>
      <c r="R287" s="5">
        <v>1500</v>
      </c>
    </row>
    <row r="288" spans="17:18" x14ac:dyDescent="0.3">
      <c r="Q288" s="4" t="s">
        <v>1339</v>
      </c>
      <c r="R288" s="5">
        <v>500</v>
      </c>
    </row>
    <row r="289" spans="17:18" x14ac:dyDescent="0.3">
      <c r="Q289" s="4" t="s">
        <v>1340</v>
      </c>
      <c r="R289" s="5">
        <v>7552</v>
      </c>
    </row>
    <row r="290" spans="17:18" x14ac:dyDescent="0.3">
      <c r="Q290" s="4" t="s">
        <v>1341</v>
      </c>
      <c r="R290" s="5">
        <v>47786</v>
      </c>
    </row>
    <row r="291" spans="17:18" x14ac:dyDescent="0.3">
      <c r="Q291" s="4" t="s">
        <v>1342</v>
      </c>
      <c r="R291" s="5">
        <v>60610</v>
      </c>
    </row>
    <row r="292" spans="17:18" x14ac:dyDescent="0.3">
      <c r="Q292" s="4" t="s">
        <v>1343</v>
      </c>
      <c r="R292" s="5">
        <v>89992</v>
      </c>
    </row>
    <row r="293" spans="17:18" x14ac:dyDescent="0.3">
      <c r="Q293" s="4" t="s">
        <v>1344</v>
      </c>
      <c r="R293" s="5">
        <v>3789</v>
      </c>
    </row>
    <row r="294" spans="17:18" x14ac:dyDescent="0.3">
      <c r="Q294" s="4" t="s">
        <v>1345</v>
      </c>
      <c r="R294" s="5">
        <v>24198</v>
      </c>
    </row>
    <row r="295" spans="17:18" x14ac:dyDescent="0.3">
      <c r="Q295" s="4" t="s">
        <v>1346</v>
      </c>
      <c r="R295" s="5">
        <v>7500</v>
      </c>
    </row>
    <row r="296" spans="17:18" x14ac:dyDescent="0.3">
      <c r="Q296" s="4" t="s">
        <v>1347</v>
      </c>
      <c r="R296" s="5">
        <v>1000</v>
      </c>
    </row>
    <row r="297" spans="17:18" x14ac:dyDescent="0.3">
      <c r="Q297" s="4" t="s">
        <v>1348</v>
      </c>
      <c r="R297" s="5">
        <v>54118</v>
      </c>
    </row>
    <row r="298" spans="17:18" x14ac:dyDescent="0.3">
      <c r="Q298" s="4" t="s">
        <v>1349</v>
      </c>
      <c r="R298" s="5">
        <v>185822</v>
      </c>
    </row>
    <row r="299" spans="17:18" x14ac:dyDescent="0.3">
      <c r="Q299" s="4" t="s">
        <v>1350</v>
      </c>
      <c r="R299" s="5">
        <v>500</v>
      </c>
    </row>
    <row r="300" spans="17:18" x14ac:dyDescent="0.3">
      <c r="Q300" s="4" t="s">
        <v>1351</v>
      </c>
      <c r="R300" s="5">
        <v>52663</v>
      </c>
    </row>
    <row r="301" spans="17:18" x14ac:dyDescent="0.3">
      <c r="Q301" s="4" t="s">
        <v>1352</v>
      </c>
      <c r="R301" s="5">
        <v>22239</v>
      </c>
    </row>
    <row r="302" spans="17:18" x14ac:dyDescent="0.3">
      <c r="Q302" s="4" t="s">
        <v>1353</v>
      </c>
      <c r="R302" s="5">
        <v>6543</v>
      </c>
    </row>
    <row r="303" spans="17:18" x14ac:dyDescent="0.3">
      <c r="Q303" s="4" t="s">
        <v>1354</v>
      </c>
      <c r="R303" s="5">
        <v>3242</v>
      </c>
    </row>
    <row r="304" spans="17:18" x14ac:dyDescent="0.3">
      <c r="Q304" s="4" t="s">
        <v>1355</v>
      </c>
      <c r="R304" s="5">
        <v>500</v>
      </c>
    </row>
    <row r="305" spans="17:18" x14ac:dyDescent="0.3">
      <c r="Q305" s="4" t="s">
        <v>1356</v>
      </c>
      <c r="R305" s="5">
        <v>247213</v>
      </c>
    </row>
    <row r="306" spans="17:18" x14ac:dyDescent="0.3">
      <c r="Q306" s="4" t="s">
        <v>1357</v>
      </c>
      <c r="R306" s="5">
        <v>179198</v>
      </c>
    </row>
    <row r="307" spans="17:18" x14ac:dyDescent="0.3">
      <c r="Q307" s="4" t="s">
        <v>1358</v>
      </c>
      <c r="R307" s="5">
        <v>164335</v>
      </c>
    </row>
    <row r="308" spans="17:18" x14ac:dyDescent="0.3">
      <c r="Q308" s="4" t="s">
        <v>1359</v>
      </c>
      <c r="R308" s="5">
        <v>95750</v>
      </c>
    </row>
    <row r="309" spans="17:18" x14ac:dyDescent="0.3">
      <c r="Q309" s="4" t="s">
        <v>1360</v>
      </c>
      <c r="R309" s="5">
        <v>58500</v>
      </c>
    </row>
    <row r="310" spans="17:18" x14ac:dyDescent="0.3">
      <c r="Q310" s="4" t="s">
        <v>1361</v>
      </c>
      <c r="R310" s="5">
        <v>70230</v>
      </c>
    </row>
    <row r="311" spans="17:18" x14ac:dyDescent="0.3">
      <c r="Q311" s="4" t="s">
        <v>1362</v>
      </c>
      <c r="R311" s="5">
        <v>83672</v>
      </c>
    </row>
    <row r="312" spans="17:18" x14ac:dyDescent="0.3">
      <c r="Q312" s="4" t="s">
        <v>1363</v>
      </c>
      <c r="R312" s="5">
        <v>500</v>
      </c>
    </row>
    <row r="313" spans="17:18" x14ac:dyDescent="0.3">
      <c r="Q313" s="4" t="s">
        <v>1364</v>
      </c>
      <c r="R313" s="5">
        <v>58772</v>
      </c>
    </row>
    <row r="314" spans="17:18" x14ac:dyDescent="0.3">
      <c r="Q314" s="4" t="s">
        <v>1365</v>
      </c>
      <c r="R314" s="5">
        <v>500</v>
      </c>
    </row>
    <row r="315" spans="17:18" x14ac:dyDescent="0.3">
      <c r="Q315" s="4" t="s">
        <v>1366</v>
      </c>
      <c r="R315" s="5">
        <v>520</v>
      </c>
    </row>
    <row r="316" spans="17:18" x14ac:dyDescent="0.3">
      <c r="Q316" s="4" t="s">
        <v>1367</v>
      </c>
      <c r="R316" s="5">
        <v>285922</v>
      </c>
    </row>
    <row r="317" spans="17:18" x14ac:dyDescent="0.3">
      <c r="Q317" s="4" t="s">
        <v>1368</v>
      </c>
      <c r="R317" s="5">
        <v>29809</v>
      </c>
    </row>
    <row r="318" spans="17:18" x14ac:dyDescent="0.3">
      <c r="Q318" s="4" t="s">
        <v>1369</v>
      </c>
      <c r="R318" s="5">
        <v>4865</v>
      </c>
    </row>
    <row r="319" spans="17:18" x14ac:dyDescent="0.3">
      <c r="Q319" s="4" t="s">
        <v>1370</v>
      </c>
      <c r="R319" s="5">
        <v>83880</v>
      </c>
    </row>
    <row r="320" spans="17:18" x14ac:dyDescent="0.3">
      <c r="Q320" s="4" t="s">
        <v>1371</v>
      </c>
      <c r="R320" s="5">
        <v>248446</v>
      </c>
    </row>
    <row r="321" spans="17:18" x14ac:dyDescent="0.3">
      <c r="Q321" s="4" t="s">
        <v>1372</v>
      </c>
      <c r="R321" s="5">
        <v>110275</v>
      </c>
    </row>
    <row r="322" spans="17:18" x14ac:dyDescent="0.3">
      <c r="Q322" s="4" t="s">
        <v>1373</v>
      </c>
      <c r="R322" s="5">
        <v>50000</v>
      </c>
    </row>
    <row r="323" spans="17:18" x14ac:dyDescent="0.3">
      <c r="Q323" s="4" t="s">
        <v>1374</v>
      </c>
      <c r="R323" s="5">
        <v>7432</v>
      </c>
    </row>
    <row r="324" spans="17:18" x14ac:dyDescent="0.3">
      <c r="Q324" s="4" t="s">
        <v>1375</v>
      </c>
      <c r="R324" s="5">
        <v>1075</v>
      </c>
    </row>
    <row r="325" spans="17:18" x14ac:dyDescent="0.3">
      <c r="Q325" s="4" t="s">
        <v>1376</v>
      </c>
      <c r="R325" s="5">
        <v>5000</v>
      </c>
    </row>
    <row r="326" spans="17:18" x14ac:dyDescent="0.3">
      <c r="Q326" s="4" t="s">
        <v>1377</v>
      </c>
      <c r="R326" s="5">
        <v>58558</v>
      </c>
    </row>
    <row r="327" spans="17:18" x14ac:dyDescent="0.3">
      <c r="Q327" s="4" t="s">
        <v>1378</v>
      </c>
      <c r="R327" s="5">
        <v>4973</v>
      </c>
    </row>
    <row r="328" spans="17:18" x14ac:dyDescent="0.3">
      <c r="Q328" s="4" t="s">
        <v>1379</v>
      </c>
      <c r="R328" s="5">
        <v>24663</v>
      </c>
    </row>
    <row r="329" spans="17:18" x14ac:dyDescent="0.3">
      <c r="Q329" s="4" t="s">
        <v>1380</v>
      </c>
      <c r="R329" s="5">
        <v>29546</v>
      </c>
    </row>
    <row r="330" spans="17:18" x14ac:dyDescent="0.3">
      <c r="Q330" s="4" t="s">
        <v>1381</v>
      </c>
      <c r="R330" s="5">
        <v>1178</v>
      </c>
    </row>
    <row r="331" spans="17:18" x14ac:dyDescent="0.3">
      <c r="Q331" s="4" t="s">
        <v>1382</v>
      </c>
      <c r="R331" s="5">
        <v>78260</v>
      </c>
    </row>
    <row r="332" spans="17:18" x14ac:dyDescent="0.3">
      <c r="Q332" s="4" t="s">
        <v>1383</v>
      </c>
      <c r="R332" s="5">
        <v>24390</v>
      </c>
    </row>
    <row r="333" spans="17:18" x14ac:dyDescent="0.3">
      <c r="Q333" s="4" t="s">
        <v>1384</v>
      </c>
      <c r="R333" s="5">
        <v>718</v>
      </c>
    </row>
    <row r="334" spans="17:18" x14ac:dyDescent="0.3">
      <c r="Q334" s="4" t="s">
        <v>1385</v>
      </c>
      <c r="R334" s="5">
        <v>22744</v>
      </c>
    </row>
    <row r="335" spans="17:18" x14ac:dyDescent="0.3">
      <c r="Q335" s="4" t="s">
        <v>1386</v>
      </c>
      <c r="R335" s="5">
        <v>1450</v>
      </c>
    </row>
    <row r="336" spans="17:18" x14ac:dyDescent="0.3">
      <c r="Q336" s="4" t="s">
        <v>1387</v>
      </c>
      <c r="R336" s="5">
        <v>5000</v>
      </c>
    </row>
    <row r="337" spans="17:18" x14ac:dyDescent="0.3">
      <c r="Q337" s="4" t="s">
        <v>1388</v>
      </c>
      <c r="R337" s="5">
        <v>253418</v>
      </c>
    </row>
    <row r="338" spans="17:18" x14ac:dyDescent="0.3">
      <c r="Q338" s="4" t="s">
        <v>1389</v>
      </c>
      <c r="R338" s="5">
        <v>4501</v>
      </c>
    </row>
    <row r="339" spans="17:18" x14ac:dyDescent="0.3">
      <c r="Q339" s="4" t="s">
        <v>1390</v>
      </c>
      <c r="R339" s="5">
        <v>53104</v>
      </c>
    </row>
    <row r="340" spans="17:18" x14ac:dyDescent="0.3">
      <c r="Q340" s="4" t="s">
        <v>1391</v>
      </c>
      <c r="R340" s="5">
        <v>4500</v>
      </c>
    </row>
    <row r="341" spans="17:18" x14ac:dyDescent="0.3">
      <c r="Q341" s="4" t="s">
        <v>1392</v>
      </c>
      <c r="R341" s="5">
        <v>12803</v>
      </c>
    </row>
    <row r="342" spans="17:18" x14ac:dyDescent="0.3">
      <c r="Q342" s="4" t="s">
        <v>1393</v>
      </c>
      <c r="R342" s="5">
        <v>12891</v>
      </c>
    </row>
    <row r="343" spans="17:18" x14ac:dyDescent="0.3">
      <c r="Q343" s="4" t="s">
        <v>1394</v>
      </c>
      <c r="R343" s="5">
        <v>1380</v>
      </c>
    </row>
    <row r="344" spans="17:18" x14ac:dyDescent="0.3">
      <c r="Q344" s="4" t="s">
        <v>1395</v>
      </c>
      <c r="R344" s="5">
        <v>14615</v>
      </c>
    </row>
    <row r="345" spans="17:18" x14ac:dyDescent="0.3">
      <c r="Q345" s="4" t="s">
        <v>1396</v>
      </c>
      <c r="R345" s="5">
        <v>40748</v>
      </c>
    </row>
    <row r="346" spans="17:18" x14ac:dyDescent="0.3">
      <c r="Q346" s="4" t="s">
        <v>1397</v>
      </c>
      <c r="R346" s="5">
        <v>17164</v>
      </c>
    </row>
    <row r="347" spans="17:18" x14ac:dyDescent="0.3">
      <c r="Q347" s="4" t="s">
        <v>1398</v>
      </c>
      <c r="R347" s="5">
        <v>56816</v>
      </c>
    </row>
    <row r="348" spans="17:18" x14ac:dyDescent="0.3">
      <c r="Q348" s="4" t="s">
        <v>1399</v>
      </c>
      <c r="R348" s="5">
        <v>11195</v>
      </c>
    </row>
    <row r="349" spans="17:18" x14ac:dyDescent="0.3">
      <c r="Q349" s="4" t="s">
        <v>1400</v>
      </c>
      <c r="R349" s="5">
        <v>28265</v>
      </c>
    </row>
    <row r="350" spans="17:18" x14ac:dyDescent="0.3">
      <c r="Q350" s="4" t="s">
        <v>1401</v>
      </c>
      <c r="R350" s="5">
        <v>1450</v>
      </c>
    </row>
    <row r="351" spans="17:18" x14ac:dyDescent="0.3">
      <c r="Q351" s="4" t="s">
        <v>1402</v>
      </c>
      <c r="R351" s="5">
        <v>2396</v>
      </c>
    </row>
    <row r="352" spans="17:18" x14ac:dyDescent="0.3">
      <c r="Q352" s="4" t="s">
        <v>1403</v>
      </c>
      <c r="R352" s="5">
        <v>36127</v>
      </c>
    </row>
    <row r="353" spans="17:18" x14ac:dyDescent="0.3">
      <c r="Q353" s="4" t="s">
        <v>1404</v>
      </c>
      <c r="R353" s="5">
        <v>43908</v>
      </c>
    </row>
    <row r="354" spans="17:18" x14ac:dyDescent="0.3">
      <c r="Q354" s="4" t="s">
        <v>1405</v>
      </c>
      <c r="R354" s="5">
        <v>1516</v>
      </c>
    </row>
    <row r="355" spans="17:18" x14ac:dyDescent="0.3">
      <c r="Q355" s="4" t="s">
        <v>1406</v>
      </c>
      <c r="R355" s="5">
        <v>500</v>
      </c>
    </row>
    <row r="356" spans="17:18" x14ac:dyDescent="0.3">
      <c r="Q356" s="4" t="s">
        <v>1407</v>
      </c>
      <c r="R356" s="5">
        <v>89824</v>
      </c>
    </row>
    <row r="357" spans="17:18" x14ac:dyDescent="0.3">
      <c r="Q357" s="4" t="s">
        <v>1408</v>
      </c>
      <c r="R357" s="5">
        <v>32359</v>
      </c>
    </row>
    <row r="358" spans="17:18" x14ac:dyDescent="0.3">
      <c r="Q358" s="4" t="s">
        <v>1409</v>
      </c>
      <c r="R358" s="5">
        <v>20545</v>
      </c>
    </row>
    <row r="359" spans="17:18" x14ac:dyDescent="0.3">
      <c r="Q359" s="4" t="s">
        <v>1410</v>
      </c>
      <c r="R359" s="5">
        <v>20480</v>
      </c>
    </row>
    <row r="360" spans="17:18" x14ac:dyDescent="0.3">
      <c r="Q360" s="4" t="s">
        <v>1411</v>
      </c>
      <c r="R360" s="5">
        <v>19641</v>
      </c>
    </row>
    <row r="361" spans="17:18" x14ac:dyDescent="0.3">
      <c r="Q361" s="4" t="s">
        <v>1412</v>
      </c>
      <c r="R361" s="5">
        <v>22352</v>
      </c>
    </row>
    <row r="362" spans="17:18" x14ac:dyDescent="0.3">
      <c r="Q362" s="4" t="s">
        <v>1413</v>
      </c>
      <c r="R362" s="5">
        <v>24466</v>
      </c>
    </row>
    <row r="363" spans="17:18" x14ac:dyDescent="0.3">
      <c r="Q363" s="4" t="s">
        <v>1414</v>
      </c>
      <c r="R363" s="5">
        <v>155121</v>
      </c>
    </row>
    <row r="364" spans="17:18" x14ac:dyDescent="0.3">
      <c r="Q364" s="4" t="s">
        <v>1415</v>
      </c>
      <c r="R364" s="5">
        <v>5000</v>
      </c>
    </row>
    <row r="365" spans="17:18" x14ac:dyDescent="0.3">
      <c r="Q365" s="4" t="s">
        <v>1416</v>
      </c>
      <c r="R365" s="5">
        <v>16630</v>
      </c>
    </row>
    <row r="366" spans="17:18" x14ac:dyDescent="0.3">
      <c r="Q366" s="4" t="s">
        <v>1417</v>
      </c>
      <c r="R366" s="5">
        <v>3184</v>
      </c>
    </row>
    <row r="367" spans="17:18" x14ac:dyDescent="0.3">
      <c r="Q367" s="4" t="s">
        <v>1418</v>
      </c>
      <c r="R367" s="5">
        <v>4474</v>
      </c>
    </row>
    <row r="368" spans="17:18" x14ac:dyDescent="0.3">
      <c r="Q368" s="4" t="s">
        <v>1419</v>
      </c>
      <c r="R368" s="5">
        <v>15284</v>
      </c>
    </row>
    <row r="369" spans="17:18" x14ac:dyDescent="0.3">
      <c r="Q369" s="4" t="s">
        <v>1420</v>
      </c>
      <c r="R369" s="5">
        <v>225125</v>
      </c>
    </row>
    <row r="370" spans="17:18" x14ac:dyDescent="0.3">
      <c r="Q370" s="4" t="s">
        <v>1421</v>
      </c>
      <c r="R370" s="5">
        <v>349386</v>
      </c>
    </row>
    <row r="371" spans="17:18" x14ac:dyDescent="0.3">
      <c r="Q371" s="4" t="s">
        <v>1422</v>
      </c>
      <c r="R371" s="5">
        <v>23857</v>
      </c>
    </row>
    <row r="372" spans="17:18" x14ac:dyDescent="0.3">
      <c r="Q372" s="4" t="s">
        <v>1423</v>
      </c>
      <c r="R372" s="5">
        <v>565</v>
      </c>
    </row>
    <row r="373" spans="17:18" x14ac:dyDescent="0.3">
      <c r="Q373" s="4" t="s">
        <v>1424</v>
      </c>
      <c r="R373" s="5">
        <v>500</v>
      </c>
    </row>
    <row r="374" spans="17:18" x14ac:dyDescent="0.3">
      <c r="Q374" s="4" t="s">
        <v>1425</v>
      </c>
      <c r="R374" s="5">
        <v>100</v>
      </c>
    </row>
    <row r="375" spans="17:18" x14ac:dyDescent="0.3">
      <c r="Q375" s="4" t="s">
        <v>1426</v>
      </c>
      <c r="R375" s="5">
        <v>10105</v>
      </c>
    </row>
    <row r="376" spans="17:18" x14ac:dyDescent="0.3">
      <c r="Q376" s="4" t="s">
        <v>1427</v>
      </c>
      <c r="R376" s="5">
        <v>63224</v>
      </c>
    </row>
    <row r="377" spans="17:18" x14ac:dyDescent="0.3">
      <c r="Q377" s="4" t="s">
        <v>1428</v>
      </c>
      <c r="R377" s="5">
        <v>8551</v>
      </c>
    </row>
    <row r="378" spans="17:18" x14ac:dyDescent="0.3">
      <c r="Q378" s="4" t="s">
        <v>1429</v>
      </c>
      <c r="R378" s="5">
        <v>5000</v>
      </c>
    </row>
    <row r="379" spans="17:18" x14ac:dyDescent="0.3">
      <c r="Q379" s="4" t="s">
        <v>1430</v>
      </c>
      <c r="R379" s="5">
        <v>4402</v>
      </c>
    </row>
    <row r="380" spans="17:18" x14ac:dyDescent="0.3">
      <c r="Q380" s="4" t="s">
        <v>1431</v>
      </c>
      <c r="R380" s="5">
        <v>200</v>
      </c>
    </row>
    <row r="381" spans="17:18" x14ac:dyDescent="0.3">
      <c r="Q381" s="4" t="s">
        <v>1432</v>
      </c>
      <c r="R381" s="5">
        <v>6338</v>
      </c>
    </row>
    <row r="382" spans="17:18" x14ac:dyDescent="0.3">
      <c r="Q382" s="4" t="s">
        <v>1433</v>
      </c>
      <c r="R382" s="5">
        <v>5716</v>
      </c>
    </row>
    <row r="383" spans="17:18" x14ac:dyDescent="0.3">
      <c r="Q383" s="4" t="s">
        <v>1434</v>
      </c>
      <c r="R383" s="5">
        <v>1556</v>
      </c>
    </row>
    <row r="384" spans="17:18" x14ac:dyDescent="0.3">
      <c r="Q384" s="4" t="s">
        <v>1435</v>
      </c>
      <c r="R384" s="5">
        <v>500</v>
      </c>
    </row>
    <row r="385" spans="17:18" x14ac:dyDescent="0.3">
      <c r="Q385" s="4" t="s">
        <v>1436</v>
      </c>
      <c r="R385" s="5">
        <v>10074</v>
      </c>
    </row>
    <row r="386" spans="17:18" x14ac:dyDescent="0.3">
      <c r="Q386" s="4" t="s">
        <v>1437</v>
      </c>
      <c r="R386" s="5">
        <v>4755</v>
      </c>
    </row>
    <row r="387" spans="17:18" x14ac:dyDescent="0.3">
      <c r="Q387" s="4" t="s">
        <v>1438</v>
      </c>
      <c r="R387" s="5">
        <v>20988</v>
      </c>
    </row>
    <row r="388" spans="17:18" x14ac:dyDescent="0.3">
      <c r="Q388" s="4" t="s">
        <v>1439</v>
      </c>
      <c r="R388" s="5">
        <v>1905</v>
      </c>
    </row>
    <row r="389" spans="17:18" x14ac:dyDescent="0.3">
      <c r="Q389" s="4" t="s">
        <v>1440</v>
      </c>
      <c r="R389" s="5">
        <v>116906</v>
      </c>
    </row>
    <row r="390" spans="17:18" x14ac:dyDescent="0.3">
      <c r="Q390" s="4" t="s">
        <v>1441</v>
      </c>
      <c r="R390" s="5">
        <v>5000</v>
      </c>
    </row>
    <row r="391" spans="17:18" x14ac:dyDescent="0.3">
      <c r="Q391" s="4" t="s">
        <v>1442</v>
      </c>
      <c r="R391" s="5">
        <v>5000</v>
      </c>
    </row>
    <row r="392" spans="17:18" x14ac:dyDescent="0.3">
      <c r="Q392" s="4" t="s">
        <v>1443</v>
      </c>
      <c r="R392" s="5">
        <v>14108</v>
      </c>
    </row>
    <row r="393" spans="17:18" x14ac:dyDescent="0.3">
      <c r="Q393" s="4" t="s">
        <v>1444</v>
      </c>
      <c r="R393" s="5">
        <v>250</v>
      </c>
    </row>
    <row r="394" spans="17:18" x14ac:dyDescent="0.3">
      <c r="Q394" s="4" t="s">
        <v>1445</v>
      </c>
      <c r="R394" s="5">
        <v>4750</v>
      </c>
    </row>
    <row r="395" spans="17:18" x14ac:dyDescent="0.3">
      <c r="Q395" s="4" t="s">
        <v>1446</v>
      </c>
      <c r="R395" s="5">
        <v>1000</v>
      </c>
    </row>
    <row r="396" spans="17:18" x14ac:dyDescent="0.3">
      <c r="Q396" s="4" t="s">
        <v>1447</v>
      </c>
      <c r="R396" s="5">
        <v>1105</v>
      </c>
    </row>
    <row r="397" spans="17:18" x14ac:dyDescent="0.3">
      <c r="Q397" s="4" t="s">
        <v>1448</v>
      </c>
      <c r="R397" s="5">
        <v>500</v>
      </c>
    </row>
    <row r="398" spans="17:18" x14ac:dyDescent="0.3">
      <c r="Q398" s="4" t="s">
        <v>1449</v>
      </c>
      <c r="R398" s="5">
        <v>27868</v>
      </c>
    </row>
    <row r="399" spans="17:18" x14ac:dyDescent="0.3">
      <c r="Q399" s="4" t="s">
        <v>1450</v>
      </c>
      <c r="R399" s="5">
        <v>8497</v>
      </c>
    </row>
    <row r="400" spans="17:18" x14ac:dyDescent="0.3">
      <c r="Q400" s="4" t="s">
        <v>1451</v>
      </c>
      <c r="R400" s="5">
        <v>244784</v>
      </c>
    </row>
    <row r="401" spans="17:18" x14ac:dyDescent="0.3">
      <c r="Q401" s="4" t="s">
        <v>1452</v>
      </c>
      <c r="R401" s="5">
        <v>106529</v>
      </c>
    </row>
    <row r="402" spans="17:18" x14ac:dyDescent="0.3">
      <c r="Q402" s="4" t="s">
        <v>1453</v>
      </c>
      <c r="R402" s="5">
        <v>21023</v>
      </c>
    </row>
    <row r="403" spans="17:18" x14ac:dyDescent="0.3">
      <c r="Q403" s="4" t="s">
        <v>1454</v>
      </c>
      <c r="R403" s="5">
        <v>5250</v>
      </c>
    </row>
    <row r="404" spans="17:18" x14ac:dyDescent="0.3">
      <c r="Q404" s="4" t="s">
        <v>1455</v>
      </c>
      <c r="R404" s="5">
        <v>1004</v>
      </c>
    </row>
    <row r="405" spans="17:18" x14ac:dyDescent="0.3">
      <c r="Q405" s="4" t="s">
        <v>1456</v>
      </c>
      <c r="R405" s="5">
        <v>6767</v>
      </c>
    </row>
    <row r="406" spans="17:18" x14ac:dyDescent="0.3">
      <c r="Q406" s="4" t="s">
        <v>1457</v>
      </c>
      <c r="R406" s="5">
        <v>61453</v>
      </c>
    </row>
    <row r="407" spans="17:18" x14ac:dyDescent="0.3">
      <c r="Q407" s="4" t="s">
        <v>1458</v>
      </c>
      <c r="R407" s="5">
        <v>66453</v>
      </c>
    </row>
    <row r="408" spans="17:18" x14ac:dyDescent="0.3">
      <c r="Q408" s="4" t="s">
        <v>1459</v>
      </c>
      <c r="R408" s="5">
        <v>25614</v>
      </c>
    </row>
    <row r="409" spans="17:18" x14ac:dyDescent="0.3">
      <c r="Q409" s="4" t="s">
        <v>1460</v>
      </c>
      <c r="R409" s="5">
        <v>331</v>
      </c>
    </row>
    <row r="410" spans="17:18" x14ac:dyDescent="0.3">
      <c r="Q410" s="4" t="s">
        <v>1461</v>
      </c>
      <c r="R410" s="5">
        <v>22230</v>
      </c>
    </row>
    <row r="411" spans="17:18" x14ac:dyDescent="0.3">
      <c r="Q411" s="4" t="s">
        <v>1462</v>
      </c>
      <c r="R411" s="5">
        <v>13313</v>
      </c>
    </row>
    <row r="412" spans="17:18" x14ac:dyDescent="0.3">
      <c r="Q412" s="4" t="s">
        <v>1463</v>
      </c>
      <c r="R412" s="5">
        <v>2047</v>
      </c>
    </row>
    <row r="413" spans="17:18" x14ac:dyDescent="0.3">
      <c r="Q413" s="4" t="s">
        <v>1464</v>
      </c>
      <c r="R413" s="5">
        <v>2745</v>
      </c>
    </row>
    <row r="414" spans="17:18" x14ac:dyDescent="0.3">
      <c r="Q414" s="4" t="s">
        <v>1465</v>
      </c>
      <c r="R414" s="5">
        <v>5569</v>
      </c>
    </row>
    <row r="415" spans="17:18" x14ac:dyDescent="0.3">
      <c r="Q415" s="4" t="s">
        <v>1466</v>
      </c>
      <c r="R415" s="5">
        <v>368</v>
      </c>
    </row>
    <row r="416" spans="17:18" x14ac:dyDescent="0.3">
      <c r="Q416" s="4" t="s">
        <v>1467</v>
      </c>
      <c r="R416" s="5">
        <v>14715</v>
      </c>
    </row>
    <row r="417" spans="17:18" x14ac:dyDescent="0.3">
      <c r="Q417" s="4" t="s">
        <v>1468</v>
      </c>
      <c r="R417" s="5">
        <v>3637</v>
      </c>
    </row>
    <row r="418" spans="17:18" x14ac:dyDescent="0.3">
      <c r="Q418" s="4" t="s">
        <v>1469</v>
      </c>
      <c r="R418" s="5">
        <v>243</v>
      </c>
    </row>
    <row r="419" spans="17:18" x14ac:dyDescent="0.3">
      <c r="Q419" s="4" t="s">
        <v>1470</v>
      </c>
      <c r="R419" s="5">
        <v>54820</v>
      </c>
    </row>
    <row r="420" spans="17:18" x14ac:dyDescent="0.3">
      <c r="Q420" s="4" t="s">
        <v>1471</v>
      </c>
      <c r="R420" s="5">
        <v>3329</v>
      </c>
    </row>
    <row r="421" spans="17:18" x14ac:dyDescent="0.3">
      <c r="Q421" s="4" t="s">
        <v>1472</v>
      </c>
      <c r="R421" s="5">
        <v>5650</v>
      </c>
    </row>
    <row r="422" spans="17:18" x14ac:dyDescent="0.3">
      <c r="Q422" s="4" t="s">
        <v>1473</v>
      </c>
      <c r="R422" s="5">
        <v>4786</v>
      </c>
    </row>
    <row r="423" spans="17:18" x14ac:dyDescent="0.3">
      <c r="Q423" s="4" t="s">
        <v>1474</v>
      </c>
      <c r="R423" s="5">
        <v>163</v>
      </c>
    </row>
    <row r="424" spans="17:18" x14ac:dyDescent="0.3">
      <c r="Q424" s="4" t="s">
        <v>1475</v>
      </c>
      <c r="R424" s="5">
        <v>600</v>
      </c>
    </row>
    <row r="425" spans="17:18" x14ac:dyDescent="0.3">
      <c r="Q425" s="4" t="s">
        <v>1476</v>
      </c>
      <c r="R425" s="5">
        <v>500</v>
      </c>
    </row>
    <row r="426" spans="17:18" x14ac:dyDescent="0.3">
      <c r="Q426" s="4" t="s">
        <v>1477</v>
      </c>
      <c r="R426" s="5">
        <v>2322</v>
      </c>
    </row>
    <row r="427" spans="17:18" x14ac:dyDescent="0.3">
      <c r="Q427" s="4" t="s">
        <v>1478</v>
      </c>
      <c r="R427" s="5">
        <v>19110</v>
      </c>
    </row>
    <row r="428" spans="17:18" x14ac:dyDescent="0.3">
      <c r="Q428" s="4" t="s">
        <v>1479</v>
      </c>
      <c r="R428" s="5">
        <v>27588</v>
      </c>
    </row>
    <row r="429" spans="17:18" x14ac:dyDescent="0.3">
      <c r="Q429" s="4" t="s">
        <v>1480</v>
      </c>
      <c r="R429" s="5">
        <v>29747</v>
      </c>
    </row>
    <row r="430" spans="17:18" x14ac:dyDescent="0.3">
      <c r="Q430" s="4" t="s">
        <v>1481</v>
      </c>
      <c r="R430" s="5">
        <v>5150</v>
      </c>
    </row>
    <row r="431" spans="17:18" x14ac:dyDescent="0.3">
      <c r="Q431" s="4" t="s">
        <v>1482</v>
      </c>
      <c r="R431" s="5">
        <v>25758</v>
      </c>
    </row>
    <row r="432" spans="17:18" x14ac:dyDescent="0.3">
      <c r="Q432" s="4" t="s">
        <v>1483</v>
      </c>
      <c r="R432" s="5">
        <v>3750</v>
      </c>
    </row>
    <row r="433" spans="17:18" x14ac:dyDescent="0.3">
      <c r="Q433" s="4" t="s">
        <v>1484</v>
      </c>
      <c r="R433" s="5">
        <v>5000</v>
      </c>
    </row>
    <row r="434" spans="17:18" x14ac:dyDescent="0.3">
      <c r="Q434" s="4" t="s">
        <v>1485</v>
      </c>
      <c r="R434" s="5">
        <v>9150</v>
      </c>
    </row>
    <row r="435" spans="17:18" x14ac:dyDescent="0.3">
      <c r="Q435" s="4" t="s">
        <v>1486</v>
      </c>
      <c r="R435" s="5">
        <v>4100</v>
      </c>
    </row>
    <row r="436" spans="17:18" x14ac:dyDescent="0.3">
      <c r="Q436" s="4" t="s">
        <v>1487</v>
      </c>
      <c r="R436" s="5">
        <v>3752</v>
      </c>
    </row>
    <row r="437" spans="17:18" x14ac:dyDescent="0.3">
      <c r="Q437" s="4" t="s">
        <v>1488</v>
      </c>
      <c r="R437" s="5">
        <v>25</v>
      </c>
    </row>
    <row r="438" spans="17:18" x14ac:dyDescent="0.3">
      <c r="Q438" s="4" t="s">
        <v>1489</v>
      </c>
      <c r="R438" s="5">
        <v>803</v>
      </c>
    </row>
    <row r="439" spans="17:18" x14ac:dyDescent="0.3">
      <c r="Q439" s="4" t="s">
        <v>1490</v>
      </c>
      <c r="R439" s="5">
        <v>50</v>
      </c>
    </row>
    <row r="440" spans="17:18" x14ac:dyDescent="0.3">
      <c r="Q440" s="4" t="s">
        <v>1491</v>
      </c>
      <c r="R440" s="5">
        <v>5500</v>
      </c>
    </row>
    <row r="441" spans="17:18" x14ac:dyDescent="0.3">
      <c r="Q441" s="4" t="s">
        <v>1492</v>
      </c>
      <c r="R441" s="5">
        <v>5000</v>
      </c>
    </row>
    <row r="442" spans="17:18" x14ac:dyDescent="0.3">
      <c r="Q442" s="4" t="s">
        <v>1493</v>
      </c>
      <c r="R442" s="5">
        <v>250</v>
      </c>
    </row>
    <row r="443" spans="17:18" x14ac:dyDescent="0.3">
      <c r="Q443" s="4" t="s">
        <v>1494</v>
      </c>
      <c r="R443" s="5">
        <v>1181</v>
      </c>
    </row>
    <row r="444" spans="17:18" x14ac:dyDescent="0.3">
      <c r="Q444" s="4" t="s">
        <v>1495</v>
      </c>
      <c r="R444" s="5">
        <v>351</v>
      </c>
    </row>
  </sheetData>
  <pageMargins left="0.7" right="0.7" top="0.75" bottom="0.75" header="0.3" footer="0.3"/>
  <pageSetup paperSize="9" orientation="portrait" horizontalDpi="1200" verticalDpi="1200" r:id="rId6"/>
  <drawing r:id="rId7"/>
  <extLst>
    <ext xmlns:x14="http://schemas.microsoft.com/office/spreadsheetml/2009/9/main" uri="{A8765BA9-456A-4dab-B4F3-ACF838C121DE}">
      <x14:slicerList>
        <x14:slicer r:id="rId8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27AEE-E8C1-4B77-AEF9-4DCE7FA4F624}">
  <sheetPr codeName="Hoja3">
    <tabColor rgb="FFFFFFCC"/>
  </sheetPr>
  <dimension ref="A2:G8"/>
  <sheetViews>
    <sheetView showGridLines="0" workbookViewId="0">
      <selection activeCell="H22" sqref="H22"/>
    </sheetView>
  </sheetViews>
  <sheetFormatPr baseColWidth="10" defaultRowHeight="14.4" x14ac:dyDescent="0.3"/>
  <sheetData>
    <row r="2" spans="1:7" ht="61.2" x14ac:dyDescent="1.1000000000000001">
      <c r="B2" s="14" t="s">
        <v>1505</v>
      </c>
    </row>
    <row r="4" spans="1:7" ht="15" thickBot="1" x14ac:dyDescent="0.35">
      <c r="A4" t="s">
        <v>1504</v>
      </c>
    </row>
    <row r="5" spans="1:7" ht="15" thickBot="1" x14ac:dyDescent="0.35">
      <c r="A5" s="8"/>
      <c r="B5" s="7"/>
      <c r="C5" s="9"/>
      <c r="D5" s="10"/>
      <c r="E5" s="11"/>
      <c r="F5" s="12"/>
      <c r="G5" s="13"/>
    </row>
    <row r="8" spans="1:7" x14ac:dyDescent="0.3">
      <c r="A8" t="s">
        <v>1511</v>
      </c>
      <c r="D8" s="16" t="s">
        <v>1512</v>
      </c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6113-78B1-47B2-AAF7-A288B0D1BCFC}">
  <sheetPr codeName="Hoja4">
    <tabColor rgb="FF402E84"/>
  </sheetPr>
  <dimension ref="A21"/>
  <sheetViews>
    <sheetView showGridLines="0" zoomScale="85" zoomScaleNormal="85" workbookViewId="0">
      <selection activeCell="U47" sqref="U47"/>
    </sheetView>
  </sheetViews>
  <sheetFormatPr baseColWidth="10" defaultRowHeight="14.4" x14ac:dyDescent="0.3"/>
  <cols>
    <col min="1" max="2" width="11.5546875" style="15"/>
    <col min="3" max="3" width="2.77734375" style="15" customWidth="1"/>
    <col min="4" max="17" width="11.5546875" style="15"/>
    <col min="18" max="18" width="2.77734375" style="15" customWidth="1"/>
    <col min="19" max="16384" width="11.5546875" style="15"/>
  </cols>
  <sheetData>
    <row r="21" ht="13.8" customHeight="1" x14ac:dyDescent="0.3"/>
  </sheetData>
  <pageMargins left="0.7" right="0.7" top="0.75" bottom="0.75" header="0.3" footer="0.3"/>
  <pageSetup paperSize="9" orientation="portrait" horizontalDpi="1200" verticalDpi="1200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16D6235-2EB2-4E87-BB40-A9BC31CFE59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Datos</vt:lpstr>
      <vt:lpstr>Análisis</vt:lpstr>
      <vt:lpstr>visual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Dario Neira</dc:creator>
  <cp:lastModifiedBy>Dario Neira</cp:lastModifiedBy>
  <dcterms:created xsi:type="dcterms:W3CDTF">2024-05-24T14:59:03Z</dcterms:created>
  <dcterms:modified xsi:type="dcterms:W3CDTF">2024-05-27T18:44:09Z</dcterms:modified>
</cp:coreProperties>
</file>